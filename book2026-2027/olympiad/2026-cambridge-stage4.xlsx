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365b7155bc9144a/Desktop/SanBartolo/global_economics/book2026-2027/olympiad/"/>
    </mc:Choice>
  </mc:AlternateContent>
  <xr:revisionPtr revIDLastSave="206" documentId="11_F25DC773A252ABDACC10488B115B6F5E5BDE58EE" xr6:coauthVersionLast="47" xr6:coauthVersionMax="47" xr10:uidLastSave="{3DD9443E-C48D-4C9A-91EB-F6C3807BCEFF}"/>
  <bookViews>
    <workbookView xWindow="-110" yWindow="-110" windowWidth="19420" windowHeight="11500" xr2:uid="{00000000-000D-0000-FFFF-FFFF00000000}"/>
  </bookViews>
  <sheets>
    <sheet name="Paper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0" i="1" l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F3" i="1"/>
  <c r="AG3" i="1"/>
  <c r="AF4" i="1"/>
  <c r="AG4" i="1"/>
  <c r="AF5" i="1"/>
  <c r="AG5" i="1"/>
  <c r="AF6" i="1"/>
  <c r="AG6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46" i="1"/>
  <c r="AG46" i="1"/>
  <c r="AF47" i="1"/>
  <c r="AG47" i="1"/>
  <c r="AF48" i="1"/>
  <c r="AG48" i="1"/>
  <c r="AF49" i="1"/>
  <c r="AG49" i="1"/>
  <c r="AG2" i="1"/>
  <c r="AF2" i="1"/>
  <c r="AE2" i="1"/>
  <c r="AE3" i="1"/>
  <c r="AE4" i="1"/>
  <c r="AE5" i="1"/>
  <c r="AE6" i="1"/>
  <c r="AE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</calcChain>
</file>

<file path=xl/sharedStrings.xml><?xml version="1.0" encoding="utf-8"?>
<sst xmlns="http://schemas.openxmlformats.org/spreadsheetml/2006/main" count="106" uniqueCount="60">
  <si>
    <t>Curso</t>
  </si>
  <si>
    <t>No</t>
  </si>
  <si>
    <t>No. Matrícula</t>
  </si>
  <si>
    <t>Estudiantes</t>
  </si>
  <si>
    <t>ACUÑA HERNANDEZ EMILIO ANDRES</t>
  </si>
  <si>
    <t>AGUILAR PÉREZ JUAN ANTONIO</t>
  </si>
  <si>
    <t>BARAHONA PINZON LUCIANA</t>
  </si>
  <si>
    <t>BUSTOS AMADOR SALOMÉ</t>
  </si>
  <si>
    <t>CAJAS TORRES JOSUE DAVID</t>
  </si>
  <si>
    <t>CAMARGO RINCON JUAN DAVID</t>
  </si>
  <si>
    <t>CARDENAS WITIGAN SALMA</t>
  </si>
  <si>
    <t>CARREÑO SALAS SANTIAGO</t>
  </si>
  <si>
    <t>CASTRO BARRIOS ISABEL</t>
  </si>
  <si>
    <t>DUARTE CAMACHO ANDRES FELIPE</t>
  </si>
  <si>
    <t>FORERO PRIETO JACOBO</t>
  </si>
  <si>
    <t>GARCIA CASTILLO MARIA JULIANA</t>
  </si>
  <si>
    <t>GONZALEZ REYES ANTONIA</t>
  </si>
  <si>
    <t>MANTILLA LOBO JERONIMO FERNANDO</t>
  </si>
  <si>
    <t>MARTINEZ GOMEZ VALERIA</t>
  </si>
  <si>
    <t>MARTINEZ SANCHEZ MIGUEL ESTEBAN</t>
  </si>
  <si>
    <t>PALOMINO GARCIA SAMANTHA</t>
  </si>
  <si>
    <t>RAMIREZ BARRERO GABRIELA MARIA</t>
  </si>
  <si>
    <t>SAENZ GONZALEZ DYLAN MATEO</t>
  </si>
  <si>
    <t>SALAZAR TELLEZ SAMUEL</t>
  </si>
  <si>
    <t>SARMIENTO ROJAS JUAN MANUEL</t>
  </si>
  <si>
    <t>URIBE BRIJALDO ANTONIA</t>
  </si>
  <si>
    <t>VARGAS ALVAREZ SANTIAGO</t>
  </si>
  <si>
    <t>VERA HUERTAS LIA SOFIA</t>
  </si>
  <si>
    <t>Grupo</t>
  </si>
  <si>
    <t>C</t>
  </si>
  <si>
    <t>1a</t>
  </si>
  <si>
    <t>1b</t>
  </si>
  <si>
    <t>F</t>
  </si>
  <si>
    <t>AMARIS MORALES NATALIA</t>
  </si>
  <si>
    <t>ARACU SASTRE MIKAELA</t>
  </si>
  <si>
    <t>AREVALO CAMACHO SIMÓN JUAN</t>
  </si>
  <si>
    <t>AVILA MORENO AARON NICOLAS</t>
  </si>
  <si>
    <t>BLANCO AVELLANEDA ARIAN NICOLAS</t>
  </si>
  <si>
    <t>BOLAÑOS IZA MARÍA ANTONIA</t>
  </si>
  <si>
    <t>BUITRAGO GIRALDO ANTONIA</t>
  </si>
  <si>
    <t>CARVAJAL ESTUPIÑAN GABRIELA</t>
  </si>
  <si>
    <t>CEREZO VARGAS EMILIO</t>
  </si>
  <si>
    <t>ECHEVERRI PEÑUELA JOAQUIN</t>
  </si>
  <si>
    <t>GALINDO LETOURNEAU CEDRIC</t>
  </si>
  <si>
    <t>GARCIA MARTINEZ EMILIANO</t>
  </si>
  <si>
    <t>GIRALDO MARTINEZ PAULINA</t>
  </si>
  <si>
    <t>GONZALEZ PELUPESSY DANTE</t>
  </si>
  <si>
    <t>GONZALEZ VILLAMIL MARIA PAULA</t>
  </si>
  <si>
    <t>GUTIERREZ AGUIAR PABLO</t>
  </si>
  <si>
    <t>LEON OLAVE DANIEL FELIPE</t>
  </si>
  <si>
    <t>LOAIZA HENAO SOFIA</t>
  </si>
  <si>
    <t>MAJJUL LEON VALERIA</t>
  </si>
  <si>
    <t>MONTILLA SÁNCHEZ JUAN CARLOS</t>
  </si>
  <si>
    <t>NUVAN TORRES SAMUEL MATIAS</t>
  </si>
  <si>
    <t>QUINTERO SANCHEZ MARTINA</t>
  </si>
  <si>
    <t>RODRIGUEZ ROSERO VICTORIA LUCIA</t>
  </si>
  <si>
    <t>VASQUEZ CELY DIEGO ALEJANDRO</t>
  </si>
  <si>
    <t>Bien</t>
  </si>
  <si>
    <t>Mal</t>
  </si>
  <si>
    <t>No Responde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</si>
</sst>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9"/>
  <sheetViews>
    <sheetView tabSelected="1" zoomScaleNormal="100" workbookViewId="0">
      <pane ySplit="1" topLeftCell="A29" activePane="bottomLeft" state="frozen"/>
      <selection pane="bottomLeft" activeCell="AD32" sqref="AD32"/>
    </sheetView>
  </sheetViews>
  <sheetFormatPr defaultRowHeight="14.5" x14ac:dyDescent="0.35"/>
  <cols>
    <col min="1" max="1" width="5.6328125" style="1" bestFit="1" customWidth="1"/>
    <col min="2" max="2" width="6.08984375" style="1" bestFit="1" customWidth="1"/>
    <col min="3" max="3" width="3.1796875" style="1" bestFit="1" customWidth="1"/>
    <col min="4" max="4" width="12.90625" style="1" bestFit="1" customWidth="1"/>
    <col min="5" max="5" width="34.26953125" bestFit="1" customWidth="1"/>
    <col min="6" max="6" width="2.81640625" bestFit="1" customWidth="1"/>
    <col min="7" max="7" width="2.90625" bestFit="1" customWidth="1"/>
    <col min="8" max="9" width="2.453125" bestFit="1" customWidth="1"/>
    <col min="10" max="10" width="1.81640625" bestFit="1" customWidth="1"/>
    <col min="11" max="14" width="2.453125" bestFit="1" customWidth="1"/>
    <col min="15" max="15" width="1.81640625" bestFit="1" customWidth="1"/>
    <col min="16" max="30" width="2.81640625" bestFit="1" customWidth="1"/>
    <col min="31" max="31" width="8.7265625" style="4"/>
    <col min="32" max="32" width="8.7265625" style="5"/>
    <col min="33" max="33" width="8.7265625" style="6"/>
  </cols>
  <sheetData>
    <row r="1" spans="1:33" x14ac:dyDescent="0.35">
      <c r="A1" s="2" t="s">
        <v>0</v>
      </c>
      <c r="B1" s="2" t="s">
        <v>28</v>
      </c>
      <c r="C1" s="2" t="s">
        <v>1</v>
      </c>
      <c r="D1" s="2" t="s">
        <v>2</v>
      </c>
      <c r="E1" s="3" t="s">
        <v>3</v>
      </c>
      <c r="F1" s="3" t="s">
        <v>30</v>
      </c>
      <c r="G1" s="3" t="s">
        <v>31</v>
      </c>
      <c r="H1" s="3">
        <v>2</v>
      </c>
      <c r="I1" s="3">
        <v>3</v>
      </c>
      <c r="J1" s="3">
        <v>4</v>
      </c>
      <c r="K1" s="3">
        <v>5</v>
      </c>
      <c r="L1" s="3">
        <v>6</v>
      </c>
      <c r="M1" s="3">
        <v>7</v>
      </c>
      <c r="N1" s="3">
        <v>8</v>
      </c>
      <c r="O1" s="3">
        <v>9</v>
      </c>
      <c r="P1" s="3">
        <v>10</v>
      </c>
      <c r="Q1" s="3">
        <v>11</v>
      </c>
      <c r="R1" s="3">
        <v>12</v>
      </c>
      <c r="S1" s="3">
        <v>13</v>
      </c>
      <c r="T1" s="3">
        <v>14</v>
      </c>
      <c r="U1" s="3">
        <v>15</v>
      </c>
      <c r="V1" s="3">
        <v>16</v>
      </c>
      <c r="W1" s="3">
        <v>17</v>
      </c>
      <c r="X1" s="3">
        <v>18</v>
      </c>
      <c r="Y1" s="3">
        <v>19</v>
      </c>
      <c r="Z1" s="3">
        <v>20</v>
      </c>
      <c r="AA1" s="3">
        <v>21</v>
      </c>
      <c r="AB1" s="3">
        <v>22</v>
      </c>
      <c r="AC1" s="3">
        <v>23</v>
      </c>
      <c r="AD1" s="3">
        <v>24</v>
      </c>
      <c r="AE1" s="4" t="s">
        <v>57</v>
      </c>
      <c r="AF1" s="5" t="s">
        <v>58</v>
      </c>
      <c r="AG1" s="6" t="s">
        <v>59</v>
      </c>
    </row>
    <row r="2" spans="1:33" x14ac:dyDescent="0.35">
      <c r="A2" s="1">
        <v>3</v>
      </c>
      <c r="B2" s="1" t="s">
        <v>29</v>
      </c>
      <c r="C2" s="1">
        <v>1</v>
      </c>
      <c r="D2" s="1" t="str">
        <f>"000012230982"</f>
        <v>000012230982</v>
      </c>
      <c r="E2" t="s">
        <v>4</v>
      </c>
      <c r="AE2" s="4">
        <f t="shared" ref="AE2:AE25" si="0">COUNTIF(F2:AD2,1)</f>
        <v>0</v>
      </c>
      <c r="AF2" s="5">
        <f>COUNTIF(F2:AD2,-1)</f>
        <v>0</v>
      </c>
      <c r="AG2" s="6">
        <f>COUNTIF(F2:AD2,0)</f>
        <v>0</v>
      </c>
    </row>
    <row r="3" spans="1:33" x14ac:dyDescent="0.35">
      <c r="A3" s="1">
        <v>3</v>
      </c>
      <c r="B3" s="1" t="s">
        <v>29</v>
      </c>
      <c r="C3" s="1">
        <v>2</v>
      </c>
      <c r="D3" s="1" t="str">
        <f>"000012230341"</f>
        <v>000012230341</v>
      </c>
      <c r="E3" t="s">
        <v>5</v>
      </c>
      <c r="AE3" s="4">
        <f t="shared" si="0"/>
        <v>0</v>
      </c>
      <c r="AF3" s="5">
        <f t="shared" ref="AF3:AF49" si="1">COUNTIF(F3:AD3,-1)</f>
        <v>0</v>
      </c>
      <c r="AG3" s="6">
        <f t="shared" ref="AG3:AG49" si="2">COUNTIF(F3:AD3,0)</f>
        <v>0</v>
      </c>
    </row>
    <row r="4" spans="1:33" x14ac:dyDescent="0.35">
      <c r="A4" s="1">
        <v>3</v>
      </c>
      <c r="B4" s="1" t="s">
        <v>29</v>
      </c>
      <c r="C4" s="1">
        <v>3</v>
      </c>
      <c r="D4" s="1" t="str">
        <f>"000012210098"</f>
        <v>000012210098</v>
      </c>
      <c r="E4" t="s">
        <v>6</v>
      </c>
      <c r="AE4" s="4">
        <f t="shared" si="0"/>
        <v>0</v>
      </c>
      <c r="AF4" s="5">
        <f t="shared" si="1"/>
        <v>0</v>
      </c>
      <c r="AG4" s="6">
        <f t="shared" si="2"/>
        <v>0</v>
      </c>
    </row>
    <row r="5" spans="1:33" x14ac:dyDescent="0.35">
      <c r="A5" s="1">
        <v>3</v>
      </c>
      <c r="B5" s="1" t="s">
        <v>29</v>
      </c>
      <c r="C5" s="1">
        <v>4</v>
      </c>
      <c r="D5" s="1" t="str">
        <f>"000012210525"</f>
        <v>000012210525</v>
      </c>
      <c r="E5" t="s">
        <v>7</v>
      </c>
      <c r="AE5" s="4">
        <f t="shared" si="0"/>
        <v>0</v>
      </c>
      <c r="AF5" s="5">
        <f t="shared" si="1"/>
        <v>0</v>
      </c>
      <c r="AG5" s="6">
        <f t="shared" si="2"/>
        <v>0</v>
      </c>
    </row>
    <row r="6" spans="1:33" x14ac:dyDescent="0.35">
      <c r="A6" s="1">
        <v>3</v>
      </c>
      <c r="B6" s="1" t="s">
        <v>29</v>
      </c>
      <c r="C6" s="1">
        <v>5</v>
      </c>
      <c r="D6" s="1" t="str">
        <f>"000012231823"</f>
        <v>000012231823</v>
      </c>
      <c r="E6" t="s">
        <v>8</v>
      </c>
      <c r="AE6" s="4">
        <f t="shared" si="0"/>
        <v>0</v>
      </c>
      <c r="AF6" s="5">
        <f t="shared" si="1"/>
        <v>0</v>
      </c>
      <c r="AG6" s="6">
        <f t="shared" si="2"/>
        <v>0</v>
      </c>
    </row>
    <row r="7" spans="1:33" x14ac:dyDescent="0.35">
      <c r="A7" s="1">
        <v>3</v>
      </c>
      <c r="B7" s="1" t="s">
        <v>29</v>
      </c>
      <c r="C7" s="1">
        <v>6</v>
      </c>
      <c r="D7" s="1" t="str">
        <f>"000012221109"</f>
        <v>000012221109</v>
      </c>
      <c r="E7" t="s">
        <v>9</v>
      </c>
      <c r="AE7" s="4">
        <f t="shared" si="0"/>
        <v>0</v>
      </c>
      <c r="AF7" s="5">
        <f t="shared" si="1"/>
        <v>0</v>
      </c>
      <c r="AG7" s="6">
        <f t="shared" si="2"/>
        <v>0</v>
      </c>
    </row>
    <row r="8" spans="1:33" x14ac:dyDescent="0.35">
      <c r="A8" s="1">
        <v>3</v>
      </c>
      <c r="B8" s="1" t="s">
        <v>29</v>
      </c>
      <c r="C8" s="1">
        <v>7</v>
      </c>
      <c r="D8" s="1" t="str">
        <f>"000012211791"</f>
        <v>000012211791</v>
      </c>
      <c r="E8" t="s">
        <v>10</v>
      </c>
      <c r="AE8" s="4">
        <f t="shared" ref="AE8:AE28" si="3">COUNTIF(F8:AD8,1) + COUNTIF(F8:AD8,2)*2</f>
        <v>0</v>
      </c>
      <c r="AF8" s="5">
        <f t="shared" si="1"/>
        <v>0</v>
      </c>
      <c r="AG8" s="6">
        <f t="shared" si="2"/>
        <v>0</v>
      </c>
    </row>
    <row r="9" spans="1:33" x14ac:dyDescent="0.35">
      <c r="A9" s="1">
        <v>3</v>
      </c>
      <c r="B9" s="1" t="s">
        <v>29</v>
      </c>
      <c r="C9" s="1">
        <v>8</v>
      </c>
      <c r="D9" s="1" t="str">
        <f>"000012233392"</f>
        <v>000012233392</v>
      </c>
      <c r="E9" t="s">
        <v>11</v>
      </c>
      <c r="AE9" s="4">
        <f t="shared" si="3"/>
        <v>0</v>
      </c>
      <c r="AF9" s="5">
        <f t="shared" si="1"/>
        <v>0</v>
      </c>
      <c r="AG9" s="6">
        <f t="shared" si="2"/>
        <v>0</v>
      </c>
    </row>
    <row r="10" spans="1:33" x14ac:dyDescent="0.35">
      <c r="A10" s="1">
        <v>3</v>
      </c>
      <c r="B10" s="1" t="s">
        <v>29</v>
      </c>
      <c r="C10" s="1">
        <v>9</v>
      </c>
      <c r="D10" s="1" t="str">
        <f>"000012220361"</f>
        <v>000012220361</v>
      </c>
      <c r="E10" t="s">
        <v>12</v>
      </c>
      <c r="AE10" s="4">
        <f t="shared" si="3"/>
        <v>0</v>
      </c>
      <c r="AF10" s="5">
        <f t="shared" si="1"/>
        <v>0</v>
      </c>
      <c r="AG10" s="6">
        <f t="shared" si="2"/>
        <v>0</v>
      </c>
    </row>
    <row r="11" spans="1:33" x14ac:dyDescent="0.35">
      <c r="A11" s="1">
        <v>3</v>
      </c>
      <c r="B11" s="1" t="s">
        <v>29</v>
      </c>
      <c r="C11" s="1">
        <v>10</v>
      </c>
      <c r="D11" s="1" t="str">
        <f>"000012220347"</f>
        <v>000012220347</v>
      </c>
      <c r="E11" t="s">
        <v>13</v>
      </c>
      <c r="AE11" s="4">
        <f t="shared" si="3"/>
        <v>0</v>
      </c>
      <c r="AF11" s="5">
        <f t="shared" si="1"/>
        <v>0</v>
      </c>
      <c r="AG11" s="6">
        <f t="shared" si="2"/>
        <v>0</v>
      </c>
    </row>
    <row r="12" spans="1:33" x14ac:dyDescent="0.35">
      <c r="A12" s="1">
        <v>3</v>
      </c>
      <c r="B12" s="1" t="s">
        <v>29</v>
      </c>
      <c r="C12" s="1">
        <v>11</v>
      </c>
      <c r="D12" s="1" t="str">
        <f>"000012210921"</f>
        <v>000012210921</v>
      </c>
      <c r="E12" t="s">
        <v>14</v>
      </c>
      <c r="AE12" s="4">
        <f t="shared" si="3"/>
        <v>0</v>
      </c>
      <c r="AF12" s="5">
        <f t="shared" si="1"/>
        <v>0</v>
      </c>
      <c r="AG12" s="6">
        <f t="shared" si="2"/>
        <v>0</v>
      </c>
    </row>
    <row r="13" spans="1:33" x14ac:dyDescent="0.35">
      <c r="A13" s="1">
        <v>3</v>
      </c>
      <c r="B13" s="1" t="s">
        <v>29</v>
      </c>
      <c r="C13" s="1">
        <v>12</v>
      </c>
      <c r="D13" s="1" t="str">
        <f>"000012211041"</f>
        <v>000012211041</v>
      </c>
      <c r="E13" t="s">
        <v>15</v>
      </c>
      <c r="AE13" s="4">
        <f t="shared" si="3"/>
        <v>0</v>
      </c>
      <c r="AF13" s="5">
        <f t="shared" si="1"/>
        <v>0</v>
      </c>
      <c r="AG13" s="6">
        <f t="shared" si="2"/>
        <v>0</v>
      </c>
    </row>
    <row r="14" spans="1:33" x14ac:dyDescent="0.35">
      <c r="A14" s="1">
        <v>3</v>
      </c>
      <c r="B14" s="1" t="s">
        <v>29</v>
      </c>
      <c r="C14" s="1">
        <v>13</v>
      </c>
      <c r="D14" s="1" t="str">
        <f>"000012211397"</f>
        <v>000012211397</v>
      </c>
      <c r="E14" t="s">
        <v>16</v>
      </c>
      <c r="AE14" s="4">
        <f t="shared" si="3"/>
        <v>0</v>
      </c>
      <c r="AF14" s="5">
        <f t="shared" si="1"/>
        <v>0</v>
      </c>
      <c r="AG14" s="6">
        <f t="shared" si="2"/>
        <v>0</v>
      </c>
    </row>
    <row r="15" spans="1:33" x14ac:dyDescent="0.35">
      <c r="A15" s="1">
        <v>3</v>
      </c>
      <c r="B15" s="1" t="s">
        <v>29</v>
      </c>
      <c r="C15" s="1">
        <v>14</v>
      </c>
      <c r="D15" s="1" t="str">
        <f>"000012230871"</f>
        <v>000012230871</v>
      </c>
      <c r="E15" t="s">
        <v>17</v>
      </c>
      <c r="AE15" s="4">
        <f t="shared" si="3"/>
        <v>0</v>
      </c>
      <c r="AF15" s="5">
        <f t="shared" si="1"/>
        <v>0</v>
      </c>
      <c r="AG15" s="6">
        <f t="shared" si="2"/>
        <v>0</v>
      </c>
    </row>
    <row r="16" spans="1:33" x14ac:dyDescent="0.35">
      <c r="A16" s="1">
        <v>3</v>
      </c>
      <c r="B16" s="1" t="s">
        <v>29</v>
      </c>
      <c r="C16" s="1">
        <v>15</v>
      </c>
      <c r="D16" s="1" t="str">
        <f>"000012222153"</f>
        <v>000012222153</v>
      </c>
      <c r="E16" t="s">
        <v>18</v>
      </c>
      <c r="AE16" s="4">
        <f t="shared" si="3"/>
        <v>0</v>
      </c>
      <c r="AF16" s="5">
        <f t="shared" si="1"/>
        <v>0</v>
      </c>
      <c r="AG16" s="6">
        <f t="shared" si="2"/>
        <v>0</v>
      </c>
    </row>
    <row r="17" spans="1:33" x14ac:dyDescent="0.35">
      <c r="A17" s="1">
        <v>3</v>
      </c>
      <c r="B17" s="1" t="s">
        <v>29</v>
      </c>
      <c r="C17" s="1">
        <v>16</v>
      </c>
      <c r="D17" s="1" t="str">
        <f>"000012233228"</f>
        <v>000012233228</v>
      </c>
      <c r="E17" t="s">
        <v>19</v>
      </c>
      <c r="AE17" s="4">
        <f t="shared" si="3"/>
        <v>0</v>
      </c>
      <c r="AF17" s="5">
        <f t="shared" si="1"/>
        <v>0</v>
      </c>
      <c r="AG17" s="6">
        <f t="shared" si="2"/>
        <v>0</v>
      </c>
    </row>
    <row r="18" spans="1:33" x14ac:dyDescent="0.35">
      <c r="A18" s="1">
        <v>3</v>
      </c>
      <c r="B18" s="1" t="s">
        <v>29</v>
      </c>
      <c r="C18" s="1">
        <v>17</v>
      </c>
      <c r="D18" s="1" t="str">
        <f>"000012233812"</f>
        <v>000012233812</v>
      </c>
      <c r="E18" t="s">
        <v>20</v>
      </c>
      <c r="AE18" s="4">
        <f t="shared" si="3"/>
        <v>0</v>
      </c>
      <c r="AF18" s="5">
        <f t="shared" si="1"/>
        <v>0</v>
      </c>
      <c r="AG18" s="6">
        <f t="shared" si="2"/>
        <v>0</v>
      </c>
    </row>
    <row r="19" spans="1:33" x14ac:dyDescent="0.35">
      <c r="A19" s="1">
        <v>3</v>
      </c>
      <c r="B19" s="1" t="s">
        <v>29</v>
      </c>
      <c r="C19" s="1">
        <v>18</v>
      </c>
      <c r="D19" s="1" t="str">
        <f>"000012232742"</f>
        <v>000012232742</v>
      </c>
      <c r="E19" t="s">
        <v>21</v>
      </c>
      <c r="AE19" s="4">
        <f t="shared" si="3"/>
        <v>0</v>
      </c>
      <c r="AF19" s="5">
        <f t="shared" si="1"/>
        <v>0</v>
      </c>
      <c r="AG19" s="6">
        <f t="shared" si="2"/>
        <v>0</v>
      </c>
    </row>
    <row r="20" spans="1:33" x14ac:dyDescent="0.35">
      <c r="A20" s="1">
        <v>3</v>
      </c>
      <c r="B20" s="1" t="s">
        <v>29</v>
      </c>
      <c r="C20" s="1">
        <v>19</v>
      </c>
      <c r="D20" s="1" t="str">
        <f>"000012222311"</f>
        <v>000012222311</v>
      </c>
      <c r="E20" t="s">
        <v>22</v>
      </c>
      <c r="AE20" s="4">
        <f t="shared" si="3"/>
        <v>0</v>
      </c>
      <c r="AF20" s="5">
        <f t="shared" si="1"/>
        <v>0</v>
      </c>
      <c r="AG20" s="6">
        <f t="shared" si="2"/>
        <v>0</v>
      </c>
    </row>
    <row r="21" spans="1:33" x14ac:dyDescent="0.35">
      <c r="A21" s="1">
        <v>3</v>
      </c>
      <c r="B21" s="1" t="s">
        <v>29</v>
      </c>
      <c r="C21" s="1">
        <v>20</v>
      </c>
      <c r="D21" s="1" t="str">
        <f>"000012222669"</f>
        <v>000012222669</v>
      </c>
      <c r="E21" t="s">
        <v>23</v>
      </c>
      <c r="AE21" s="4">
        <f t="shared" si="3"/>
        <v>0</v>
      </c>
      <c r="AF21" s="5">
        <f t="shared" si="1"/>
        <v>0</v>
      </c>
      <c r="AG21" s="6">
        <f t="shared" si="2"/>
        <v>0</v>
      </c>
    </row>
    <row r="22" spans="1:33" x14ac:dyDescent="0.35">
      <c r="A22" s="1">
        <v>3</v>
      </c>
      <c r="B22" s="1" t="s">
        <v>29</v>
      </c>
      <c r="C22" s="1">
        <v>21</v>
      </c>
      <c r="D22" s="1" t="str">
        <f>"000012220671"</f>
        <v>000012220671</v>
      </c>
      <c r="E22" t="s">
        <v>24</v>
      </c>
      <c r="AE22" s="4">
        <f t="shared" si="3"/>
        <v>0</v>
      </c>
      <c r="AF22" s="5">
        <f t="shared" si="1"/>
        <v>0</v>
      </c>
      <c r="AG22" s="6">
        <f t="shared" si="2"/>
        <v>0</v>
      </c>
    </row>
    <row r="23" spans="1:33" x14ac:dyDescent="0.35">
      <c r="A23" s="1">
        <v>3</v>
      </c>
      <c r="B23" s="1" t="s">
        <v>29</v>
      </c>
      <c r="C23" s="1">
        <v>22</v>
      </c>
      <c r="D23" s="1" t="str">
        <f>"000012230991"</f>
        <v>000012230991</v>
      </c>
      <c r="E23" t="s">
        <v>25</v>
      </c>
      <c r="AE23" s="4">
        <f t="shared" si="3"/>
        <v>0</v>
      </c>
      <c r="AF23" s="5">
        <f t="shared" si="1"/>
        <v>0</v>
      </c>
      <c r="AG23" s="6">
        <f t="shared" si="2"/>
        <v>0</v>
      </c>
    </row>
    <row r="24" spans="1:33" x14ac:dyDescent="0.35">
      <c r="A24" s="1">
        <v>3</v>
      </c>
      <c r="B24" s="1" t="s">
        <v>29</v>
      </c>
      <c r="C24" s="1">
        <v>23</v>
      </c>
      <c r="D24" s="1" t="str">
        <f>"000012220085"</f>
        <v>000012220085</v>
      </c>
      <c r="E24" t="s">
        <v>26</v>
      </c>
      <c r="AE24" s="4">
        <f t="shared" si="3"/>
        <v>0</v>
      </c>
      <c r="AF24" s="5">
        <f t="shared" si="1"/>
        <v>0</v>
      </c>
      <c r="AG24" s="6">
        <f t="shared" si="2"/>
        <v>0</v>
      </c>
    </row>
    <row r="25" spans="1:33" x14ac:dyDescent="0.35">
      <c r="A25" s="1">
        <v>3</v>
      </c>
      <c r="B25" s="1" t="s">
        <v>29</v>
      </c>
      <c r="C25" s="1">
        <v>24</v>
      </c>
      <c r="D25" s="1" t="str">
        <f>"000012211444"</f>
        <v>000012211444</v>
      </c>
      <c r="E25" t="s">
        <v>27</v>
      </c>
      <c r="AE25" s="4">
        <f t="shared" si="3"/>
        <v>0</v>
      </c>
      <c r="AF25" s="5">
        <f t="shared" si="1"/>
        <v>0</v>
      </c>
      <c r="AG25" s="6">
        <f t="shared" si="2"/>
        <v>0</v>
      </c>
    </row>
    <row r="26" spans="1:33" x14ac:dyDescent="0.35">
      <c r="A26" s="1">
        <v>3</v>
      </c>
      <c r="B26" s="1" t="s">
        <v>32</v>
      </c>
      <c r="C26" s="1">
        <v>1</v>
      </c>
      <c r="D26" s="1">
        <v>12250421</v>
      </c>
      <c r="E26" t="s">
        <v>33</v>
      </c>
      <c r="F26" s="1">
        <v>1</v>
      </c>
      <c r="G26" s="1">
        <v>1</v>
      </c>
      <c r="H26" s="1">
        <v>-1</v>
      </c>
      <c r="I26" s="1">
        <v>-1</v>
      </c>
      <c r="J26" s="1">
        <v>1</v>
      </c>
      <c r="K26" s="1">
        <v>1</v>
      </c>
      <c r="L26" s="1">
        <v>-1</v>
      </c>
      <c r="M26" s="1">
        <v>-1</v>
      </c>
      <c r="N26" s="1">
        <v>0</v>
      </c>
      <c r="O26" s="1">
        <v>1</v>
      </c>
      <c r="P26" s="1">
        <v>-1</v>
      </c>
      <c r="Q26" s="1">
        <v>-1</v>
      </c>
      <c r="R26" s="1">
        <v>-1</v>
      </c>
      <c r="S26" s="1">
        <v>1</v>
      </c>
      <c r="T26" s="1">
        <v>-1</v>
      </c>
      <c r="U26" s="1">
        <v>-1</v>
      </c>
      <c r="V26" s="1">
        <v>-1</v>
      </c>
      <c r="W26" s="1">
        <v>-1</v>
      </c>
      <c r="X26" s="1">
        <v>-1</v>
      </c>
      <c r="Y26" s="1">
        <v>1</v>
      </c>
      <c r="Z26" s="1">
        <v>-1</v>
      </c>
      <c r="AA26" s="1">
        <v>-1</v>
      </c>
      <c r="AB26" s="1">
        <v>-1</v>
      </c>
      <c r="AC26" s="1">
        <v>-1</v>
      </c>
      <c r="AD26" s="1">
        <v>0</v>
      </c>
      <c r="AE26" s="4">
        <f t="shared" si="3"/>
        <v>7</v>
      </c>
      <c r="AF26" s="5">
        <f t="shared" si="1"/>
        <v>16</v>
      </c>
      <c r="AG26" s="6">
        <f t="shared" si="2"/>
        <v>2</v>
      </c>
    </row>
    <row r="27" spans="1:33" x14ac:dyDescent="0.35">
      <c r="A27" s="1">
        <v>3</v>
      </c>
      <c r="B27" s="1" t="s">
        <v>32</v>
      </c>
      <c r="C27" s="1">
        <v>2</v>
      </c>
      <c r="D27" s="1">
        <v>12211659</v>
      </c>
      <c r="E27" t="s">
        <v>34</v>
      </c>
      <c r="F27" s="1">
        <v>-1</v>
      </c>
      <c r="G27" s="1">
        <v>-1</v>
      </c>
      <c r="H27" s="1">
        <v>-1</v>
      </c>
      <c r="I27" s="1">
        <v>-1</v>
      </c>
      <c r="J27" s="1">
        <v>1</v>
      </c>
      <c r="K27" s="1">
        <v>-1</v>
      </c>
      <c r="L27" s="1">
        <v>-1</v>
      </c>
      <c r="M27" s="1">
        <v>-1</v>
      </c>
      <c r="N27" s="1">
        <v>-1</v>
      </c>
      <c r="O27" s="1">
        <v>1</v>
      </c>
      <c r="P27" s="1">
        <v>0</v>
      </c>
      <c r="Q27" s="1">
        <v>-1</v>
      </c>
      <c r="R27" s="1">
        <v>-1</v>
      </c>
      <c r="S27" s="1">
        <v>-1</v>
      </c>
      <c r="T27" s="1">
        <v>-1</v>
      </c>
      <c r="U27" s="1">
        <v>1</v>
      </c>
      <c r="V27" s="1">
        <v>-1</v>
      </c>
      <c r="W27" s="1">
        <v>-1</v>
      </c>
      <c r="X27" s="1">
        <v>-1</v>
      </c>
      <c r="Y27" s="1">
        <v>-1</v>
      </c>
      <c r="Z27" s="1">
        <v>-1</v>
      </c>
      <c r="AA27" s="1">
        <v>-1</v>
      </c>
      <c r="AB27" s="1">
        <v>1</v>
      </c>
      <c r="AC27" s="1">
        <v>0</v>
      </c>
      <c r="AD27" s="1">
        <v>0</v>
      </c>
      <c r="AE27" s="4">
        <f t="shared" si="3"/>
        <v>4</v>
      </c>
      <c r="AF27" s="5">
        <f t="shared" si="1"/>
        <v>18</v>
      </c>
      <c r="AG27" s="6">
        <f t="shared" si="2"/>
        <v>3</v>
      </c>
    </row>
    <row r="28" spans="1:33" x14ac:dyDescent="0.35">
      <c r="A28" s="1">
        <v>3</v>
      </c>
      <c r="B28" s="1" t="s">
        <v>32</v>
      </c>
      <c r="C28" s="1">
        <v>3</v>
      </c>
      <c r="D28" s="1">
        <v>12230438</v>
      </c>
      <c r="E28" t="s">
        <v>35</v>
      </c>
      <c r="F28" s="1">
        <v>1</v>
      </c>
      <c r="G28" s="1">
        <v>1</v>
      </c>
      <c r="H28" s="1">
        <v>-1</v>
      </c>
      <c r="I28" s="1">
        <v>-1</v>
      </c>
      <c r="J28" s="1">
        <v>1</v>
      </c>
      <c r="K28" s="1">
        <v>1</v>
      </c>
      <c r="L28" s="1">
        <v>1</v>
      </c>
      <c r="M28" s="1">
        <v>1</v>
      </c>
      <c r="N28" s="1">
        <v>0</v>
      </c>
      <c r="O28" s="1">
        <v>1</v>
      </c>
      <c r="P28" s="1">
        <v>-1</v>
      </c>
      <c r="Q28" s="1">
        <v>-1</v>
      </c>
      <c r="R28" s="1">
        <v>1</v>
      </c>
      <c r="S28" s="1">
        <v>-1</v>
      </c>
      <c r="T28" s="1">
        <v>1</v>
      </c>
      <c r="U28" s="1">
        <v>1</v>
      </c>
      <c r="V28" s="1">
        <v>-1</v>
      </c>
      <c r="W28" s="1">
        <v>-1</v>
      </c>
      <c r="X28" s="1">
        <v>-1</v>
      </c>
      <c r="Y28" s="1">
        <v>1</v>
      </c>
      <c r="Z28" s="1">
        <v>-1</v>
      </c>
      <c r="AA28" s="1">
        <v>-1</v>
      </c>
      <c r="AB28" s="1">
        <v>1</v>
      </c>
      <c r="AC28" s="1">
        <v>-1</v>
      </c>
      <c r="AD28" s="1">
        <v>-1</v>
      </c>
      <c r="AE28" s="4">
        <f t="shared" si="3"/>
        <v>12</v>
      </c>
      <c r="AF28" s="5">
        <f t="shared" si="1"/>
        <v>12</v>
      </c>
      <c r="AG28" s="6">
        <f t="shared" si="2"/>
        <v>1</v>
      </c>
    </row>
    <row r="29" spans="1:33" x14ac:dyDescent="0.35">
      <c r="A29" s="1">
        <v>3</v>
      </c>
      <c r="B29" s="1" t="s">
        <v>32</v>
      </c>
      <c r="C29" s="1">
        <v>4</v>
      </c>
      <c r="D29" s="1">
        <v>12232989</v>
      </c>
      <c r="E29" t="s">
        <v>36</v>
      </c>
      <c r="F29" s="1">
        <v>1</v>
      </c>
      <c r="G29" s="1">
        <v>-1</v>
      </c>
      <c r="H29" s="1">
        <v>0</v>
      </c>
      <c r="I29" s="1">
        <v>0</v>
      </c>
      <c r="J29" s="1">
        <v>0</v>
      </c>
      <c r="K29" s="1">
        <v>-1</v>
      </c>
      <c r="L29" s="1">
        <v>-1</v>
      </c>
      <c r="M29" s="1">
        <v>-1</v>
      </c>
      <c r="N29">
        <v>0</v>
      </c>
      <c r="O29">
        <v>0</v>
      </c>
      <c r="P29" s="1">
        <v>0</v>
      </c>
      <c r="Q29" s="1">
        <v>-1</v>
      </c>
      <c r="R29" s="1">
        <v>-1</v>
      </c>
      <c r="S29" s="1">
        <v>0</v>
      </c>
      <c r="T29" s="1">
        <v>-1</v>
      </c>
      <c r="U29" s="1">
        <v>2</v>
      </c>
      <c r="V29" s="1">
        <v>-1</v>
      </c>
      <c r="W29" s="1">
        <v>-1</v>
      </c>
      <c r="X29" s="1">
        <v>-1</v>
      </c>
      <c r="Y29" s="1">
        <v>-1</v>
      </c>
      <c r="Z29" s="1">
        <v>-1</v>
      </c>
      <c r="AA29" s="1">
        <v>0</v>
      </c>
      <c r="AB29" s="1">
        <v>0</v>
      </c>
      <c r="AC29" s="1">
        <v>0</v>
      </c>
      <c r="AD29" s="1">
        <v>0</v>
      </c>
      <c r="AE29" s="4">
        <f>COUNTIF(F29:AD29,1) + COUNTIF(F29:AD29,2)*2</f>
        <v>3</v>
      </c>
      <c r="AF29" s="5">
        <f t="shared" si="1"/>
        <v>12</v>
      </c>
      <c r="AG29" s="6">
        <f t="shared" si="2"/>
        <v>11</v>
      </c>
    </row>
    <row r="30" spans="1:33" x14ac:dyDescent="0.35">
      <c r="A30" s="1">
        <v>3</v>
      </c>
      <c r="B30" s="1" t="s">
        <v>32</v>
      </c>
      <c r="C30" s="1">
        <v>5</v>
      </c>
      <c r="D30" s="1">
        <v>12221961</v>
      </c>
      <c r="E30" t="s">
        <v>37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-1</v>
      </c>
      <c r="L30" s="1">
        <v>1</v>
      </c>
      <c r="M30" s="1">
        <v>-1</v>
      </c>
      <c r="N30">
        <v>0</v>
      </c>
      <c r="O30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-1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4">
        <f t="shared" ref="AE30:AE49" si="4">COUNTIF(F30:AD30,1) + COUNTIF(F30:AD30,2)*2</f>
        <v>2</v>
      </c>
      <c r="AF30" s="5">
        <f t="shared" si="1"/>
        <v>3</v>
      </c>
      <c r="AG30" s="6">
        <f t="shared" si="2"/>
        <v>20</v>
      </c>
    </row>
    <row r="31" spans="1:33" x14ac:dyDescent="0.35">
      <c r="A31" s="1">
        <v>3</v>
      </c>
      <c r="B31" s="1" t="s">
        <v>32</v>
      </c>
      <c r="C31" s="1">
        <v>6</v>
      </c>
      <c r="D31" s="1">
        <v>12234115</v>
      </c>
      <c r="E31" t="s">
        <v>38</v>
      </c>
      <c r="F31" s="1">
        <v>1</v>
      </c>
      <c r="G31" s="1">
        <v>1</v>
      </c>
      <c r="H31" s="1">
        <v>-1</v>
      </c>
      <c r="I31" s="1">
        <v>0</v>
      </c>
      <c r="J31" s="1">
        <v>0</v>
      </c>
      <c r="K31" s="1">
        <v>1</v>
      </c>
      <c r="L31" s="1">
        <v>0</v>
      </c>
      <c r="M31" s="1">
        <v>-1</v>
      </c>
      <c r="N31" s="1">
        <v>-1</v>
      </c>
      <c r="O31" s="1">
        <v>2</v>
      </c>
      <c r="P31" s="1">
        <v>1</v>
      </c>
      <c r="Q31" s="1">
        <v>-1</v>
      </c>
      <c r="R31" s="1">
        <v>-1</v>
      </c>
      <c r="S31" s="1">
        <v>1</v>
      </c>
      <c r="T31" s="1">
        <v>1</v>
      </c>
      <c r="U31" s="1">
        <v>1</v>
      </c>
      <c r="V31" s="1">
        <v>-1</v>
      </c>
      <c r="W31" s="1">
        <v>1</v>
      </c>
      <c r="X31" s="1">
        <v>-1</v>
      </c>
      <c r="Y31" s="1">
        <v>-1</v>
      </c>
      <c r="Z31" s="1">
        <v>1</v>
      </c>
      <c r="AA31" s="1">
        <v>-1</v>
      </c>
      <c r="AB31" s="1">
        <v>-1</v>
      </c>
      <c r="AC31">
        <v>0</v>
      </c>
      <c r="AD31" s="1">
        <v>-1</v>
      </c>
      <c r="AE31" s="4">
        <f t="shared" si="4"/>
        <v>11</v>
      </c>
      <c r="AF31" s="5">
        <f t="shared" si="1"/>
        <v>11</v>
      </c>
      <c r="AG31" s="6">
        <f t="shared" si="2"/>
        <v>4</v>
      </c>
    </row>
    <row r="32" spans="1:33" x14ac:dyDescent="0.35">
      <c r="A32" s="1">
        <v>3</v>
      </c>
      <c r="B32" s="1" t="s">
        <v>32</v>
      </c>
      <c r="C32" s="1">
        <v>7</v>
      </c>
      <c r="D32" s="1">
        <v>12222218</v>
      </c>
      <c r="E32" t="s">
        <v>39</v>
      </c>
      <c r="AE32" s="4">
        <f t="shared" si="4"/>
        <v>0</v>
      </c>
      <c r="AF32" s="5">
        <f t="shared" si="1"/>
        <v>0</v>
      </c>
      <c r="AG32" s="6">
        <f t="shared" si="2"/>
        <v>0</v>
      </c>
    </row>
    <row r="33" spans="1:33" x14ac:dyDescent="0.35">
      <c r="A33" s="1">
        <v>3</v>
      </c>
      <c r="B33" s="1" t="s">
        <v>32</v>
      </c>
      <c r="C33" s="1">
        <v>8</v>
      </c>
      <c r="D33" s="1">
        <v>12222091</v>
      </c>
      <c r="E33" t="s">
        <v>40</v>
      </c>
      <c r="AE33" s="4">
        <f t="shared" si="4"/>
        <v>0</v>
      </c>
      <c r="AF33" s="5">
        <f t="shared" si="1"/>
        <v>0</v>
      </c>
      <c r="AG33" s="6">
        <f t="shared" si="2"/>
        <v>0</v>
      </c>
    </row>
    <row r="34" spans="1:33" x14ac:dyDescent="0.35">
      <c r="A34" s="1">
        <v>3</v>
      </c>
      <c r="B34" s="1" t="s">
        <v>32</v>
      </c>
      <c r="C34" s="1">
        <v>9</v>
      </c>
      <c r="D34" s="1">
        <v>12230674</v>
      </c>
      <c r="E34" t="s">
        <v>41</v>
      </c>
      <c r="AE34" s="4">
        <f t="shared" si="4"/>
        <v>0</v>
      </c>
      <c r="AF34" s="5">
        <f t="shared" si="1"/>
        <v>0</v>
      </c>
      <c r="AG34" s="6">
        <f t="shared" si="2"/>
        <v>0</v>
      </c>
    </row>
    <row r="35" spans="1:33" x14ac:dyDescent="0.35">
      <c r="A35" s="1">
        <v>3</v>
      </c>
      <c r="B35" s="1" t="s">
        <v>32</v>
      </c>
      <c r="C35" s="1">
        <v>10</v>
      </c>
      <c r="D35" s="1">
        <v>12232101</v>
      </c>
      <c r="E35" t="s">
        <v>42</v>
      </c>
      <c r="AE35" s="4">
        <f t="shared" si="4"/>
        <v>0</v>
      </c>
      <c r="AF35" s="5">
        <f t="shared" si="1"/>
        <v>0</v>
      </c>
      <c r="AG35" s="6">
        <f t="shared" si="2"/>
        <v>0</v>
      </c>
    </row>
    <row r="36" spans="1:33" x14ac:dyDescent="0.35">
      <c r="A36" s="1">
        <v>3</v>
      </c>
      <c r="B36" s="1" t="s">
        <v>32</v>
      </c>
      <c r="C36" s="1">
        <v>11</v>
      </c>
      <c r="D36" s="1">
        <v>12211057</v>
      </c>
      <c r="E36" t="s">
        <v>43</v>
      </c>
      <c r="AE36" s="4">
        <f t="shared" si="4"/>
        <v>0</v>
      </c>
      <c r="AF36" s="5">
        <f t="shared" si="1"/>
        <v>0</v>
      </c>
      <c r="AG36" s="6">
        <f t="shared" si="2"/>
        <v>0</v>
      </c>
    </row>
    <row r="37" spans="1:33" x14ac:dyDescent="0.35">
      <c r="A37" s="1">
        <v>3</v>
      </c>
      <c r="B37" s="1" t="s">
        <v>32</v>
      </c>
      <c r="C37" s="1">
        <v>12</v>
      </c>
      <c r="D37" s="1">
        <v>12220308</v>
      </c>
      <c r="E37" t="s">
        <v>44</v>
      </c>
      <c r="AE37" s="4">
        <f t="shared" si="4"/>
        <v>0</v>
      </c>
      <c r="AF37" s="5">
        <f t="shared" si="1"/>
        <v>0</v>
      </c>
      <c r="AG37" s="6">
        <f t="shared" si="2"/>
        <v>0</v>
      </c>
    </row>
    <row r="38" spans="1:33" x14ac:dyDescent="0.35">
      <c r="A38" s="1">
        <v>3</v>
      </c>
      <c r="B38" s="1" t="s">
        <v>32</v>
      </c>
      <c r="C38" s="1">
        <v>13</v>
      </c>
      <c r="D38" s="1">
        <v>12220472</v>
      </c>
      <c r="E38" t="s">
        <v>45</v>
      </c>
      <c r="AE38" s="4">
        <f t="shared" si="4"/>
        <v>0</v>
      </c>
      <c r="AF38" s="5">
        <f t="shared" si="1"/>
        <v>0</v>
      </c>
      <c r="AG38" s="6">
        <f t="shared" si="2"/>
        <v>0</v>
      </c>
    </row>
    <row r="39" spans="1:33" x14ac:dyDescent="0.35">
      <c r="A39" s="1">
        <v>3</v>
      </c>
      <c r="B39" s="1" t="s">
        <v>32</v>
      </c>
      <c r="C39" s="1">
        <v>14</v>
      </c>
      <c r="D39" s="1">
        <v>12231783</v>
      </c>
      <c r="E39" t="s">
        <v>46</v>
      </c>
      <c r="AE39" s="4">
        <f t="shared" si="4"/>
        <v>0</v>
      </c>
      <c r="AF39" s="5">
        <f t="shared" si="1"/>
        <v>0</v>
      </c>
      <c r="AG39" s="6">
        <f t="shared" si="2"/>
        <v>0</v>
      </c>
    </row>
    <row r="40" spans="1:33" x14ac:dyDescent="0.35">
      <c r="A40" s="1">
        <v>3</v>
      </c>
      <c r="B40" s="1" t="s">
        <v>32</v>
      </c>
      <c r="C40" s="1">
        <v>15</v>
      </c>
      <c r="D40" s="1">
        <v>12220322</v>
      </c>
      <c r="E40" t="s">
        <v>47</v>
      </c>
      <c r="AE40" s="4">
        <f t="shared" si="4"/>
        <v>0</v>
      </c>
      <c r="AF40" s="5">
        <f t="shared" si="1"/>
        <v>0</v>
      </c>
      <c r="AG40" s="6">
        <f t="shared" si="2"/>
        <v>0</v>
      </c>
    </row>
    <row r="41" spans="1:33" x14ac:dyDescent="0.35">
      <c r="A41" s="1">
        <v>3</v>
      </c>
      <c r="B41" s="1" t="s">
        <v>32</v>
      </c>
      <c r="C41" s="1">
        <v>16</v>
      </c>
      <c r="D41" s="1">
        <v>12240353</v>
      </c>
      <c r="E41" t="s">
        <v>48</v>
      </c>
      <c r="AE41" s="4">
        <f t="shared" si="4"/>
        <v>0</v>
      </c>
      <c r="AF41" s="5">
        <f t="shared" si="1"/>
        <v>0</v>
      </c>
      <c r="AG41" s="6">
        <f t="shared" si="2"/>
        <v>0</v>
      </c>
    </row>
    <row r="42" spans="1:33" x14ac:dyDescent="0.35">
      <c r="A42" s="1">
        <v>3</v>
      </c>
      <c r="B42" s="1" t="s">
        <v>32</v>
      </c>
      <c r="C42" s="1">
        <v>17</v>
      </c>
      <c r="D42" s="1">
        <v>12221051</v>
      </c>
      <c r="E42" t="s">
        <v>49</v>
      </c>
      <c r="AE42" s="4">
        <f t="shared" si="4"/>
        <v>0</v>
      </c>
      <c r="AF42" s="5">
        <f t="shared" si="1"/>
        <v>0</v>
      </c>
      <c r="AG42" s="6">
        <f t="shared" si="2"/>
        <v>0</v>
      </c>
    </row>
    <row r="43" spans="1:33" x14ac:dyDescent="0.35">
      <c r="A43" s="1">
        <v>3</v>
      </c>
      <c r="B43" s="1" t="s">
        <v>32</v>
      </c>
      <c r="C43" s="1">
        <v>18</v>
      </c>
      <c r="D43" s="1">
        <v>12210217</v>
      </c>
      <c r="E43" t="s">
        <v>50</v>
      </c>
      <c r="AE43" s="4">
        <f t="shared" si="4"/>
        <v>0</v>
      </c>
      <c r="AF43" s="5">
        <f t="shared" si="1"/>
        <v>0</v>
      </c>
      <c r="AG43" s="6">
        <f t="shared" si="2"/>
        <v>0</v>
      </c>
    </row>
    <row r="44" spans="1:33" x14ac:dyDescent="0.35">
      <c r="A44" s="1">
        <v>3</v>
      </c>
      <c r="B44" s="1" t="s">
        <v>32</v>
      </c>
      <c r="C44" s="1">
        <v>19</v>
      </c>
      <c r="D44" s="1">
        <v>12211910</v>
      </c>
      <c r="E44" t="s">
        <v>51</v>
      </c>
      <c r="AE44" s="4">
        <f t="shared" si="4"/>
        <v>0</v>
      </c>
      <c r="AF44" s="5">
        <f t="shared" si="1"/>
        <v>0</v>
      </c>
      <c r="AG44" s="6">
        <f t="shared" si="2"/>
        <v>0</v>
      </c>
    </row>
    <row r="45" spans="1:33" x14ac:dyDescent="0.35">
      <c r="A45" s="1">
        <v>3</v>
      </c>
      <c r="B45" s="1" t="s">
        <v>32</v>
      </c>
      <c r="C45" s="1">
        <v>20</v>
      </c>
      <c r="D45" s="1">
        <v>12233821</v>
      </c>
      <c r="E45" t="s">
        <v>52</v>
      </c>
      <c r="AE45" s="4">
        <f t="shared" si="4"/>
        <v>0</v>
      </c>
      <c r="AF45" s="5">
        <f t="shared" si="1"/>
        <v>0</v>
      </c>
      <c r="AG45" s="6">
        <f t="shared" si="2"/>
        <v>0</v>
      </c>
    </row>
    <row r="46" spans="1:33" x14ac:dyDescent="0.35">
      <c r="A46" s="1">
        <v>3</v>
      </c>
      <c r="B46" s="1" t="s">
        <v>32</v>
      </c>
      <c r="C46" s="1">
        <v>21</v>
      </c>
      <c r="D46" s="1">
        <v>12222160</v>
      </c>
      <c r="E46" t="s">
        <v>53</v>
      </c>
      <c r="AE46" s="4">
        <f t="shared" si="4"/>
        <v>0</v>
      </c>
      <c r="AF46" s="5">
        <f t="shared" si="1"/>
        <v>0</v>
      </c>
      <c r="AG46" s="6">
        <f t="shared" si="2"/>
        <v>0</v>
      </c>
    </row>
    <row r="47" spans="1:33" x14ac:dyDescent="0.35">
      <c r="A47" s="1">
        <v>3</v>
      </c>
      <c r="B47" s="1" t="s">
        <v>32</v>
      </c>
      <c r="C47" s="1">
        <v>22</v>
      </c>
      <c r="D47" s="1">
        <v>12240156</v>
      </c>
      <c r="E47" t="s">
        <v>54</v>
      </c>
      <c r="AE47" s="4">
        <f t="shared" si="4"/>
        <v>0</v>
      </c>
      <c r="AF47" s="5">
        <f t="shared" si="1"/>
        <v>0</v>
      </c>
      <c r="AG47" s="6">
        <f t="shared" si="2"/>
        <v>0</v>
      </c>
    </row>
    <row r="48" spans="1:33" x14ac:dyDescent="0.35">
      <c r="A48" s="1">
        <v>3</v>
      </c>
      <c r="B48" s="1" t="s">
        <v>32</v>
      </c>
      <c r="C48" s="1">
        <v>23</v>
      </c>
      <c r="D48" s="1">
        <v>12210976</v>
      </c>
      <c r="E48" t="s">
        <v>55</v>
      </c>
      <c r="AE48" s="4">
        <f t="shared" si="4"/>
        <v>0</v>
      </c>
      <c r="AF48" s="5">
        <f t="shared" si="1"/>
        <v>0</v>
      </c>
      <c r="AG48" s="6">
        <f t="shared" si="2"/>
        <v>0</v>
      </c>
    </row>
    <row r="49" spans="1:33" x14ac:dyDescent="0.35">
      <c r="A49" s="1">
        <v>3</v>
      </c>
      <c r="B49" s="1" t="s">
        <v>32</v>
      </c>
      <c r="C49" s="1">
        <v>24</v>
      </c>
      <c r="D49" s="1">
        <v>12222003</v>
      </c>
      <c r="E49" t="s">
        <v>56</v>
      </c>
      <c r="AE49" s="4">
        <f t="shared" si="4"/>
        <v>0</v>
      </c>
      <c r="AF49" s="5">
        <f t="shared" si="1"/>
        <v>0</v>
      </c>
      <c r="AG49" s="6">
        <f t="shared" si="2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Paper1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lopez</dc:creator>
  <cp:lastModifiedBy>orlando lopez</cp:lastModifiedBy>
  <dcterms:created xsi:type="dcterms:W3CDTF">2015-06-05T18:17:20Z</dcterms:created>
  <dcterms:modified xsi:type="dcterms:W3CDTF">2026-06-18T14:29:43Z</dcterms:modified>
</cp:coreProperties>
</file>