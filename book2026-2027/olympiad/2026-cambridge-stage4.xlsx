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365b7155bc9144a/Desktop/SanBartolo/global_economics/book2026-2027/olympiad/"/>
    </mc:Choice>
  </mc:AlternateContent>
  <xr:revisionPtr revIDLastSave="1934" documentId="11_F25DC773A252ABDACC10488B115B6F5E5BDE58EE" xr6:coauthVersionLast="47" xr6:coauthVersionMax="47" xr10:uidLastSave="{63120E7F-4C42-40D3-83A1-DF987735352C}"/>
  <bookViews>
    <workbookView xWindow="-110" yWindow="-110" windowWidth="19420" windowHeight="11500" activeTab="1" xr2:uid="{00000000-000D-0000-FFFF-FFFF00000000}"/>
  </bookViews>
  <sheets>
    <sheet name="Paper1" sheetId="1" r:id="rId1"/>
    <sheet name="Pape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9" i="2" l="1"/>
  <c r="AH49" i="2"/>
  <c r="AG49" i="2"/>
  <c r="AI48" i="2"/>
  <c r="AH48" i="2"/>
  <c r="AG48" i="2"/>
  <c r="AI47" i="2"/>
  <c r="AH47" i="2"/>
  <c r="AG47" i="2"/>
  <c r="AI46" i="2"/>
  <c r="AH46" i="2"/>
  <c r="AG46" i="2"/>
  <c r="AI44" i="2"/>
  <c r="AH44" i="2"/>
  <c r="AG44" i="2"/>
  <c r="AI43" i="2"/>
  <c r="AH43" i="2"/>
  <c r="AG43" i="2"/>
  <c r="AI42" i="2"/>
  <c r="AH42" i="2"/>
  <c r="AG42" i="2"/>
  <c r="AI41" i="2"/>
  <c r="AH41" i="2"/>
  <c r="AG41" i="2"/>
  <c r="AI40" i="2"/>
  <c r="AH40" i="2"/>
  <c r="AG40" i="2"/>
  <c r="AI39" i="2"/>
  <c r="AH39" i="2"/>
  <c r="AG39" i="2"/>
  <c r="AI38" i="2"/>
  <c r="AH38" i="2"/>
  <c r="AG38" i="2"/>
  <c r="AI37" i="2"/>
  <c r="AH37" i="2"/>
  <c r="AG37" i="2"/>
  <c r="AI36" i="2"/>
  <c r="AH36" i="2"/>
  <c r="AG36" i="2"/>
  <c r="AI35" i="2"/>
  <c r="AH35" i="2"/>
  <c r="AG35" i="2"/>
  <c r="AI34" i="2"/>
  <c r="AH34" i="2"/>
  <c r="AG34" i="2"/>
  <c r="AI33" i="2"/>
  <c r="AH33" i="2"/>
  <c r="AG33" i="2"/>
  <c r="AI32" i="2"/>
  <c r="AH32" i="2"/>
  <c r="AG32" i="2"/>
  <c r="AI31" i="2"/>
  <c r="AH31" i="2"/>
  <c r="AG31" i="2"/>
  <c r="AI30" i="2"/>
  <c r="AH30" i="2"/>
  <c r="AG30" i="2"/>
  <c r="AI29" i="2"/>
  <c r="AH29" i="2"/>
  <c r="AG29" i="2"/>
  <c r="AI28" i="2"/>
  <c r="AH28" i="2"/>
  <c r="AG28" i="2"/>
  <c r="AI27" i="2"/>
  <c r="AH27" i="2"/>
  <c r="AG27" i="2"/>
  <c r="AI26" i="2"/>
  <c r="AH26" i="2"/>
  <c r="AG26" i="2"/>
  <c r="D26" i="2"/>
  <c r="AI25" i="2"/>
  <c r="AH25" i="2"/>
  <c r="AG25" i="2"/>
  <c r="D25" i="2"/>
  <c r="AI24" i="2"/>
  <c r="AH24" i="2"/>
  <c r="AG24" i="2"/>
  <c r="D24" i="2"/>
  <c r="AI23" i="2"/>
  <c r="AH23" i="2"/>
  <c r="AG23" i="2"/>
  <c r="D23" i="2"/>
  <c r="AI22" i="2"/>
  <c r="AH22" i="2"/>
  <c r="AG22" i="2"/>
  <c r="D22" i="2"/>
  <c r="AI21" i="2"/>
  <c r="AH21" i="2"/>
  <c r="AG21" i="2"/>
  <c r="D21" i="2"/>
  <c r="AI20" i="2"/>
  <c r="AH20" i="2"/>
  <c r="AG20" i="2"/>
  <c r="D20" i="2"/>
  <c r="AI19" i="2"/>
  <c r="AH19" i="2"/>
  <c r="AG19" i="2"/>
  <c r="D19" i="2"/>
  <c r="AI18" i="2"/>
  <c r="AH18" i="2"/>
  <c r="AG18" i="2"/>
  <c r="D18" i="2"/>
  <c r="AI17" i="2"/>
  <c r="AH17" i="2"/>
  <c r="AG17" i="2"/>
  <c r="D17" i="2"/>
  <c r="AI16" i="2"/>
  <c r="AH16" i="2"/>
  <c r="AG16" i="2"/>
  <c r="D16" i="2"/>
  <c r="AI15" i="2"/>
  <c r="AH15" i="2"/>
  <c r="AG15" i="2"/>
  <c r="D15" i="2"/>
  <c r="AI14" i="2"/>
  <c r="AH14" i="2"/>
  <c r="AG14" i="2"/>
  <c r="D14" i="2"/>
  <c r="AI13" i="2"/>
  <c r="AH13" i="2"/>
  <c r="AG13" i="2"/>
  <c r="D13" i="2"/>
  <c r="AI12" i="2"/>
  <c r="AH12" i="2"/>
  <c r="AG12" i="2"/>
  <c r="D12" i="2"/>
  <c r="AI11" i="2"/>
  <c r="AH11" i="2"/>
  <c r="AG11" i="2"/>
  <c r="D11" i="2"/>
  <c r="AI10" i="2"/>
  <c r="AH10" i="2"/>
  <c r="AG10" i="2"/>
  <c r="D10" i="2"/>
  <c r="AI9" i="2"/>
  <c r="AH9" i="2"/>
  <c r="AG9" i="2"/>
  <c r="D9" i="2"/>
  <c r="AI8" i="2"/>
  <c r="AH8" i="2"/>
  <c r="AG8" i="2"/>
  <c r="D8" i="2"/>
  <c r="AI7" i="2"/>
  <c r="AH7" i="2"/>
  <c r="AG7" i="2"/>
  <c r="D7" i="2"/>
  <c r="AI6" i="2"/>
  <c r="AH6" i="2"/>
  <c r="AG6" i="2"/>
  <c r="D6" i="2"/>
  <c r="AI5" i="2"/>
  <c r="AH5" i="2"/>
  <c r="AG5" i="2"/>
  <c r="D5" i="2"/>
  <c r="AI4" i="2"/>
  <c r="AH4" i="2"/>
  <c r="AG4" i="2"/>
  <c r="D4" i="2"/>
  <c r="AI3" i="2"/>
  <c r="AH3" i="2"/>
  <c r="AG3" i="2"/>
  <c r="D3" i="2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6" i="1"/>
  <c r="AE47" i="1"/>
  <c r="AE48" i="1"/>
  <c r="AE49" i="1"/>
  <c r="AE27" i="1"/>
  <c r="AE28" i="1"/>
  <c r="AE29" i="1"/>
  <c r="AE30" i="1"/>
  <c r="AF4" i="1"/>
  <c r="AG4" i="1"/>
  <c r="AF5" i="1"/>
  <c r="AG5" i="1"/>
  <c r="AF6" i="1"/>
  <c r="AG6" i="1"/>
  <c r="AF7" i="1"/>
  <c r="AG7" i="1"/>
  <c r="AF8" i="1"/>
  <c r="AG8" i="1"/>
  <c r="AF9" i="1"/>
  <c r="AG9" i="1"/>
  <c r="AF10" i="1"/>
  <c r="AG10" i="1"/>
  <c r="AF11" i="1"/>
  <c r="AG11" i="1"/>
  <c r="AF12" i="1"/>
  <c r="AG12" i="1"/>
  <c r="AF13" i="1"/>
  <c r="AG13" i="1"/>
  <c r="AF14" i="1"/>
  <c r="AG14" i="1"/>
  <c r="AF15" i="1"/>
  <c r="AG15" i="1"/>
  <c r="AF16" i="1"/>
  <c r="AG16" i="1"/>
  <c r="AF17" i="1"/>
  <c r="AG17" i="1"/>
  <c r="AF18" i="1"/>
  <c r="AG18" i="1"/>
  <c r="AF19" i="1"/>
  <c r="AG19" i="1"/>
  <c r="AF20" i="1"/>
  <c r="AG20" i="1"/>
  <c r="AF21" i="1"/>
  <c r="AG21" i="1"/>
  <c r="AF22" i="1"/>
  <c r="AG22" i="1"/>
  <c r="AF23" i="1"/>
  <c r="AG23" i="1"/>
  <c r="AF24" i="1"/>
  <c r="AG24" i="1"/>
  <c r="AF25" i="1"/>
  <c r="AG25" i="1"/>
  <c r="AF26" i="1"/>
  <c r="AG26" i="1"/>
  <c r="AF27" i="1"/>
  <c r="AG27" i="1"/>
  <c r="AF28" i="1"/>
  <c r="AG28" i="1"/>
  <c r="AF29" i="1"/>
  <c r="AG29" i="1"/>
  <c r="AF30" i="1"/>
  <c r="AG30" i="1"/>
  <c r="AF31" i="1"/>
  <c r="AG31" i="1"/>
  <c r="AF32" i="1"/>
  <c r="AG32" i="1"/>
  <c r="AF33" i="1"/>
  <c r="AG33" i="1"/>
  <c r="AF34" i="1"/>
  <c r="AG34" i="1"/>
  <c r="AF35" i="1"/>
  <c r="AG35" i="1"/>
  <c r="AF36" i="1"/>
  <c r="AG36" i="1"/>
  <c r="AF37" i="1"/>
  <c r="AG37" i="1"/>
  <c r="AF38" i="1"/>
  <c r="AG38" i="1"/>
  <c r="AF39" i="1"/>
  <c r="AG39" i="1"/>
  <c r="AF40" i="1"/>
  <c r="AG40" i="1"/>
  <c r="AF41" i="1"/>
  <c r="AG41" i="1"/>
  <c r="AF42" i="1"/>
  <c r="AG42" i="1"/>
  <c r="AF43" i="1"/>
  <c r="AG43" i="1"/>
  <c r="AF44" i="1"/>
  <c r="AG44" i="1"/>
  <c r="AF46" i="1"/>
  <c r="AG46" i="1"/>
  <c r="AF47" i="1"/>
  <c r="AG47" i="1"/>
  <c r="AF48" i="1"/>
  <c r="AG48" i="1"/>
  <c r="AF49" i="1"/>
  <c r="AG49" i="1"/>
  <c r="AG3" i="1"/>
  <c r="AF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AG2" i="2" l="1"/>
  <c r="AH2" i="2"/>
  <c r="AI2" i="2"/>
  <c r="AE2" i="1"/>
  <c r="AG2" i="1"/>
  <c r="AF2" i="1"/>
</calcChain>
</file>

<file path=xl/sharedStrings.xml><?xml version="1.0" encoding="utf-8"?>
<sst xmlns="http://schemas.openxmlformats.org/spreadsheetml/2006/main" count="224" uniqueCount="71">
  <si>
    <t>Curso</t>
  </si>
  <si>
    <t>No</t>
  </si>
  <si>
    <t>No. Matrícula</t>
  </si>
  <si>
    <t>Estudiantes</t>
  </si>
  <si>
    <t>ACUÑA HERNANDEZ EMILIO ANDRES</t>
  </si>
  <si>
    <t>AGUILAR PÉREZ JUAN ANTONIO</t>
  </si>
  <si>
    <t>BARAHONA PINZON LUCIANA</t>
  </si>
  <si>
    <t>BUSTOS AMADOR SALOMÉ</t>
  </si>
  <si>
    <t>CAJAS TORRES JOSUE DAVID</t>
  </si>
  <si>
    <t>CAMARGO RINCON JUAN DAVID</t>
  </si>
  <si>
    <t>CARDENAS WITIGAN SALMA</t>
  </si>
  <si>
    <t>CARREÑO SALAS SANTIAGO</t>
  </si>
  <si>
    <t>CASTRO BARRIOS ISABEL</t>
  </si>
  <si>
    <t>DUARTE CAMACHO ANDRES FELIPE</t>
  </si>
  <si>
    <t>FORERO PRIETO JACOBO</t>
  </si>
  <si>
    <t>GARCIA CASTILLO MARIA JULIANA</t>
  </si>
  <si>
    <t>GONZALEZ REYES ANTONIA</t>
  </si>
  <si>
    <t>MANTILLA LOBO JERONIMO FERNANDO</t>
  </si>
  <si>
    <t>MARTINEZ GOMEZ VALERIA</t>
  </si>
  <si>
    <t>MARTINEZ SANCHEZ MIGUEL ESTEBAN</t>
  </si>
  <si>
    <t>PALOMINO GARCIA SAMANTHA</t>
  </si>
  <si>
    <t>RAMIREZ BARRERO GABRIELA MARIA</t>
  </si>
  <si>
    <t>SAENZ GONZALEZ DYLAN MATEO</t>
  </si>
  <si>
    <t>SALAZAR TELLEZ SAMUEL</t>
  </si>
  <si>
    <t>SARMIENTO ROJAS JUAN MANUEL</t>
  </si>
  <si>
    <t>URIBE BRIJALDO ANTONIA</t>
  </si>
  <si>
    <t>VARGAS ALVAREZ SANTIAGO</t>
  </si>
  <si>
    <t>VERA HUERTAS LIA SOFIA</t>
  </si>
  <si>
    <t>Grupo</t>
  </si>
  <si>
    <t>C</t>
  </si>
  <si>
    <t>1a</t>
  </si>
  <si>
    <t>1b</t>
  </si>
  <si>
    <t>F</t>
  </si>
  <si>
    <t>AMARIS MORALES NATALIA</t>
  </si>
  <si>
    <t>ARACU SASTRE MIKAELA</t>
  </si>
  <si>
    <t>AREVALO CAMACHO SIMÓN JUAN</t>
  </si>
  <si>
    <t>AVILA MORENO AARON NICOLAS</t>
  </si>
  <si>
    <t>BLANCO AVELLANEDA ARIAN NICOLAS</t>
  </si>
  <si>
    <t>BOLAÑOS IZA MARÍA ANTONIA</t>
  </si>
  <si>
    <t>BUITRAGO GIRALDO ANTONIA</t>
  </si>
  <si>
    <t>CARVAJAL ESTUPIÑAN GABRIELA</t>
  </si>
  <si>
    <t>CEREZO VARGAS EMILIO</t>
  </si>
  <si>
    <t>ECHEVERRI PEÑUELA JOAQUIN</t>
  </si>
  <si>
    <t>GALINDO LETOURNEAU CEDRIC</t>
  </si>
  <si>
    <t>GARCIA MARTINEZ EMILIANO</t>
  </si>
  <si>
    <t>GIRALDO MARTINEZ PAULINA</t>
  </si>
  <si>
    <t>GONZALEZ PELUPESSY DANTE</t>
  </si>
  <si>
    <t>GONZALEZ VILLAMIL MARIA PAULA</t>
  </si>
  <si>
    <t>GUTIERREZ AGUIAR PABLO</t>
  </si>
  <si>
    <t>LEON OLAVE DANIEL FELIPE</t>
  </si>
  <si>
    <t>LOAIZA HENAO SOFIA</t>
  </si>
  <si>
    <t>MAJJUL LEON VALERIA</t>
  </si>
  <si>
    <t>MONTILLA SÁNCHEZ JUAN CARLOS</t>
  </si>
  <si>
    <t>NUVAN TORRES SAMUEL MATIAS</t>
  </si>
  <si>
    <t>QUINTERO SANCHEZ MARTINA</t>
  </si>
  <si>
    <t>RODRIGUEZ ROSERO VICTORIA LUCIA</t>
  </si>
  <si>
    <t>VASQUEZ CELY DIEGO ALEJANDRO</t>
  </si>
  <si>
    <t>Bien</t>
  </si>
  <si>
    <t>Mal</t>
  </si>
  <si>
    <t>No Responde</t>
  </si>
  <si>
    <t>-</t>
  </si>
  <si>
    <t>Full</t>
  </si>
  <si>
    <t>Promedio</t>
  </si>
  <si>
    <t>10a</t>
  </si>
  <si>
    <t>10b</t>
  </si>
  <si>
    <t>17a</t>
  </si>
  <si>
    <t>17b</t>
  </si>
  <si>
    <t>18a</t>
  </si>
  <si>
    <t>18b</t>
  </si>
  <si>
    <t>21a</t>
  </si>
  <si>
    <t>21b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</si>
</sst>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"/>
  <sheetViews>
    <sheetView topLeftCell="E1" zoomScale="120" zoomScaleNormal="120" workbookViewId="0">
      <pane ySplit="1" topLeftCell="A34" activePane="bottomLeft" state="frozen"/>
      <selection pane="bottomLeft" activeCell="AH39" sqref="AH39"/>
    </sheetView>
  </sheetViews>
  <sheetFormatPr defaultRowHeight="14.5" x14ac:dyDescent="0.35"/>
  <cols>
    <col min="1" max="1" width="5.6328125" style="1" bestFit="1" customWidth="1"/>
    <col min="2" max="2" width="6.08984375" style="1" bestFit="1" customWidth="1"/>
    <col min="3" max="3" width="3.1796875" style="1" bestFit="1" customWidth="1"/>
    <col min="4" max="4" width="12.90625" style="1" bestFit="1" customWidth="1"/>
    <col min="5" max="5" width="34.26953125" bestFit="1" customWidth="1"/>
    <col min="6" max="6" width="2.81640625" bestFit="1" customWidth="1"/>
    <col min="7" max="7" width="2.90625" bestFit="1" customWidth="1"/>
    <col min="8" max="15" width="2.453125" bestFit="1" customWidth="1"/>
    <col min="16" max="30" width="2.81640625" bestFit="1" customWidth="1"/>
    <col min="31" max="31" width="4.453125" style="4" customWidth="1"/>
    <col min="32" max="32" width="4.453125" style="5" customWidth="1"/>
    <col min="33" max="33" width="4.453125" style="6" customWidth="1"/>
  </cols>
  <sheetData>
    <row r="1" spans="1:33" x14ac:dyDescent="0.35">
      <c r="A1" s="2" t="s">
        <v>0</v>
      </c>
      <c r="B1" s="2" t="s">
        <v>28</v>
      </c>
      <c r="C1" s="2" t="s">
        <v>1</v>
      </c>
      <c r="D1" s="2" t="s">
        <v>2</v>
      </c>
      <c r="E1" s="3" t="s">
        <v>3</v>
      </c>
      <c r="F1" s="3" t="s">
        <v>30</v>
      </c>
      <c r="G1" s="3" t="s">
        <v>31</v>
      </c>
      <c r="H1" s="3">
        <v>2</v>
      </c>
      <c r="I1" s="3">
        <v>3</v>
      </c>
      <c r="J1" s="3">
        <v>4</v>
      </c>
      <c r="K1" s="3">
        <v>5</v>
      </c>
      <c r="L1" s="3">
        <v>6</v>
      </c>
      <c r="M1" s="3">
        <v>7</v>
      </c>
      <c r="N1" s="3">
        <v>8</v>
      </c>
      <c r="O1" s="3">
        <v>9</v>
      </c>
      <c r="P1" s="3">
        <v>10</v>
      </c>
      <c r="Q1" s="3">
        <v>11</v>
      </c>
      <c r="R1" s="3">
        <v>12</v>
      </c>
      <c r="S1" s="3">
        <v>13</v>
      </c>
      <c r="T1" s="3">
        <v>14</v>
      </c>
      <c r="U1" s="3">
        <v>15</v>
      </c>
      <c r="V1" s="3">
        <v>16</v>
      </c>
      <c r="W1" s="3">
        <v>17</v>
      </c>
      <c r="X1" s="3">
        <v>18</v>
      </c>
      <c r="Y1" s="3">
        <v>19</v>
      </c>
      <c r="Z1" s="3">
        <v>20</v>
      </c>
      <c r="AA1" s="3">
        <v>21</v>
      </c>
      <c r="AB1" s="3">
        <v>22</v>
      </c>
      <c r="AC1" s="3">
        <v>23</v>
      </c>
      <c r="AD1" s="3">
        <v>24</v>
      </c>
      <c r="AE1" s="4" t="s">
        <v>57</v>
      </c>
      <c r="AF1" s="5" t="s">
        <v>58</v>
      </c>
      <c r="AG1" s="6" t="s">
        <v>59</v>
      </c>
    </row>
    <row r="2" spans="1:33" s="8" customFormat="1" x14ac:dyDescent="0.35">
      <c r="A2" s="7">
        <v>3</v>
      </c>
      <c r="B2" s="7" t="s">
        <v>61</v>
      </c>
      <c r="C2" s="7"/>
      <c r="D2" s="7" t="s">
        <v>60</v>
      </c>
      <c r="E2" s="8" t="s">
        <v>62</v>
      </c>
      <c r="AE2" s="9">
        <f>AVERAGE(AE3:AE50)</f>
        <v>6.5869565217391308</v>
      </c>
      <c r="AF2" s="10">
        <f t="shared" ref="AF2:AG2" si="0">AVERAGE(AF3:AF50)</f>
        <v>13.021739130434783</v>
      </c>
      <c r="AG2" s="11">
        <f t="shared" si="0"/>
        <v>5.6304347826086953</v>
      </c>
    </row>
    <row r="3" spans="1:33" x14ac:dyDescent="0.35">
      <c r="A3" s="1">
        <v>3</v>
      </c>
      <c r="B3" s="1" t="s">
        <v>29</v>
      </c>
      <c r="C3" s="1">
        <v>1</v>
      </c>
      <c r="D3" s="1" t="str">
        <f>"000012230982"</f>
        <v>000012230982</v>
      </c>
      <c r="E3" t="s">
        <v>4</v>
      </c>
      <c r="F3">
        <v>-1</v>
      </c>
      <c r="G3">
        <v>-1</v>
      </c>
      <c r="H3">
        <v>-1</v>
      </c>
      <c r="I3">
        <v>0</v>
      </c>
      <c r="J3">
        <v>1</v>
      </c>
      <c r="K3">
        <v>1</v>
      </c>
      <c r="L3">
        <v>-1</v>
      </c>
      <c r="M3">
        <v>-1</v>
      </c>
      <c r="N3">
        <v>0</v>
      </c>
      <c r="O3">
        <v>0</v>
      </c>
      <c r="P3">
        <v>0</v>
      </c>
      <c r="Q3">
        <v>-1</v>
      </c>
      <c r="R3">
        <v>-1</v>
      </c>
      <c r="S3">
        <v>0</v>
      </c>
      <c r="T3">
        <v>-1</v>
      </c>
      <c r="U3">
        <v>1</v>
      </c>
      <c r="V3">
        <v>0</v>
      </c>
      <c r="W3">
        <v>1</v>
      </c>
      <c r="X3">
        <v>-1</v>
      </c>
      <c r="Y3">
        <v>-1</v>
      </c>
      <c r="Z3">
        <v>-1</v>
      </c>
      <c r="AA3">
        <v>0</v>
      </c>
      <c r="AB3">
        <v>0</v>
      </c>
      <c r="AC3">
        <v>0</v>
      </c>
      <c r="AD3">
        <v>0</v>
      </c>
      <c r="AE3" s="4">
        <f t="shared" ref="AE3:AE26" si="1">COUNTIF(F3:AD3,1) + COUNTIF(F3:AD3,2)*2</f>
        <v>4</v>
      </c>
      <c r="AF3" s="5">
        <f>COUNTIF(F3:AD3,-1)</f>
        <v>11</v>
      </c>
      <c r="AG3" s="6">
        <f>COUNTIF(F3:AD3,0)</f>
        <v>10</v>
      </c>
    </row>
    <row r="4" spans="1:33" x14ac:dyDescent="0.35">
      <c r="A4" s="1">
        <v>3</v>
      </c>
      <c r="B4" s="1" t="s">
        <v>29</v>
      </c>
      <c r="C4" s="1">
        <v>2</v>
      </c>
      <c r="D4" s="1" t="str">
        <f>"000012230341"</f>
        <v>000012230341</v>
      </c>
      <c r="E4" t="s">
        <v>5</v>
      </c>
      <c r="F4">
        <v>1</v>
      </c>
      <c r="G4">
        <v>1</v>
      </c>
      <c r="H4">
        <v>-1</v>
      </c>
      <c r="I4">
        <v>-1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-1</v>
      </c>
      <c r="Q4">
        <v>-1</v>
      </c>
      <c r="R4">
        <v>-1</v>
      </c>
      <c r="S4">
        <v>-1</v>
      </c>
      <c r="T4">
        <v>1</v>
      </c>
      <c r="U4">
        <v>1</v>
      </c>
      <c r="V4">
        <v>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0</v>
      </c>
      <c r="AD4">
        <v>1</v>
      </c>
      <c r="AE4" s="4">
        <f t="shared" si="1"/>
        <v>11</v>
      </c>
      <c r="AF4" s="5">
        <f t="shared" ref="AF4:AF50" si="2">COUNTIF(F4:AD4,-1)</f>
        <v>12</v>
      </c>
      <c r="AG4" s="6">
        <f t="shared" ref="AG4:AG50" si="3">COUNTIF(F4:AD4,0)</f>
        <v>2</v>
      </c>
    </row>
    <row r="5" spans="1:33" x14ac:dyDescent="0.35">
      <c r="A5" s="1">
        <v>3</v>
      </c>
      <c r="B5" s="1" t="s">
        <v>29</v>
      </c>
      <c r="C5" s="1">
        <v>3</v>
      </c>
      <c r="D5" s="1" t="str">
        <f>"000012210098"</f>
        <v>000012210098</v>
      </c>
      <c r="E5" t="s">
        <v>6</v>
      </c>
      <c r="F5">
        <v>1</v>
      </c>
      <c r="G5">
        <v>1</v>
      </c>
      <c r="H5">
        <v>-1</v>
      </c>
      <c r="I5">
        <v>0</v>
      </c>
      <c r="J5">
        <v>1</v>
      </c>
      <c r="K5">
        <v>1</v>
      </c>
      <c r="L5">
        <v>1</v>
      </c>
      <c r="M5">
        <v>0</v>
      </c>
      <c r="N5">
        <v>-1</v>
      </c>
      <c r="O5">
        <v>1</v>
      </c>
      <c r="P5">
        <v>1</v>
      </c>
      <c r="Q5">
        <v>-1</v>
      </c>
      <c r="R5">
        <v>-1</v>
      </c>
      <c r="S5">
        <v>-1</v>
      </c>
      <c r="T5">
        <v>-1</v>
      </c>
      <c r="U5">
        <v>1</v>
      </c>
      <c r="V5">
        <v>-1</v>
      </c>
      <c r="W5">
        <v>1</v>
      </c>
      <c r="X5">
        <v>-1</v>
      </c>
      <c r="Y5">
        <v>1</v>
      </c>
      <c r="Z5">
        <v>0</v>
      </c>
      <c r="AA5">
        <v>-1</v>
      </c>
      <c r="AB5">
        <v>-1</v>
      </c>
      <c r="AC5">
        <v>0</v>
      </c>
      <c r="AD5">
        <v>0</v>
      </c>
      <c r="AE5" s="4">
        <f t="shared" si="1"/>
        <v>10</v>
      </c>
      <c r="AF5" s="5">
        <f t="shared" si="2"/>
        <v>10</v>
      </c>
      <c r="AG5" s="6">
        <f t="shared" si="3"/>
        <v>5</v>
      </c>
    </row>
    <row r="6" spans="1:33" x14ac:dyDescent="0.35">
      <c r="A6" s="1">
        <v>3</v>
      </c>
      <c r="B6" s="1" t="s">
        <v>29</v>
      </c>
      <c r="C6" s="1">
        <v>4</v>
      </c>
      <c r="D6" s="1" t="str">
        <f>"000012210525"</f>
        <v>000012210525</v>
      </c>
      <c r="E6" t="s">
        <v>7</v>
      </c>
      <c r="F6">
        <v>1</v>
      </c>
      <c r="G6">
        <v>1</v>
      </c>
      <c r="H6">
        <v>-1</v>
      </c>
      <c r="I6">
        <v>-1</v>
      </c>
      <c r="J6">
        <v>1</v>
      </c>
      <c r="K6">
        <v>1</v>
      </c>
      <c r="L6">
        <v>-1</v>
      </c>
      <c r="M6">
        <v>1</v>
      </c>
      <c r="N6">
        <v>-1</v>
      </c>
      <c r="O6">
        <v>1</v>
      </c>
      <c r="P6">
        <v>-1</v>
      </c>
      <c r="Q6">
        <v>-1</v>
      </c>
      <c r="R6">
        <v>-1</v>
      </c>
      <c r="S6">
        <v>-1</v>
      </c>
      <c r="T6">
        <v>-1</v>
      </c>
      <c r="U6">
        <v>1</v>
      </c>
      <c r="V6">
        <v>-1</v>
      </c>
      <c r="W6">
        <v>-1</v>
      </c>
      <c r="X6">
        <v>-1</v>
      </c>
      <c r="Y6">
        <v>-1</v>
      </c>
      <c r="Z6">
        <v>1</v>
      </c>
      <c r="AA6">
        <v>-1</v>
      </c>
      <c r="AB6">
        <v>1</v>
      </c>
      <c r="AC6">
        <v>-1</v>
      </c>
      <c r="AD6">
        <v>0</v>
      </c>
      <c r="AE6" s="4">
        <f t="shared" si="1"/>
        <v>9</v>
      </c>
      <c r="AF6" s="5">
        <f t="shared" si="2"/>
        <v>15</v>
      </c>
      <c r="AG6" s="6">
        <f t="shared" si="3"/>
        <v>1</v>
      </c>
    </row>
    <row r="7" spans="1:33" x14ac:dyDescent="0.35">
      <c r="A7" s="1">
        <v>3</v>
      </c>
      <c r="B7" s="1" t="s">
        <v>29</v>
      </c>
      <c r="C7" s="1">
        <v>5</v>
      </c>
      <c r="D7" s="1" t="str">
        <f>"000012231823"</f>
        <v>000012231823</v>
      </c>
      <c r="E7" t="s">
        <v>8</v>
      </c>
      <c r="F7">
        <v>1</v>
      </c>
      <c r="G7">
        <v>1</v>
      </c>
      <c r="H7">
        <v>1</v>
      </c>
      <c r="I7">
        <v>-1</v>
      </c>
      <c r="J7">
        <v>1</v>
      </c>
      <c r="K7">
        <v>-1</v>
      </c>
      <c r="L7">
        <v>-1</v>
      </c>
      <c r="M7">
        <v>-1</v>
      </c>
      <c r="N7">
        <v>-1</v>
      </c>
      <c r="O7">
        <v>1</v>
      </c>
      <c r="P7">
        <v>-1</v>
      </c>
      <c r="Q7">
        <v>-1</v>
      </c>
      <c r="R7">
        <v>-1</v>
      </c>
      <c r="S7">
        <v>1</v>
      </c>
      <c r="T7">
        <v>-1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-1</v>
      </c>
      <c r="AC7">
        <v>0</v>
      </c>
      <c r="AD7">
        <v>0</v>
      </c>
      <c r="AE7" s="4">
        <f t="shared" si="1"/>
        <v>8</v>
      </c>
      <c r="AF7" s="5">
        <f t="shared" si="2"/>
        <v>10</v>
      </c>
      <c r="AG7" s="6">
        <f t="shared" si="3"/>
        <v>8</v>
      </c>
    </row>
    <row r="8" spans="1:33" x14ac:dyDescent="0.35">
      <c r="A8" s="1">
        <v>3</v>
      </c>
      <c r="B8" s="1" t="s">
        <v>29</v>
      </c>
      <c r="C8" s="1">
        <v>6</v>
      </c>
      <c r="D8" s="1" t="str">
        <f>"000012221109"</f>
        <v>000012221109</v>
      </c>
      <c r="E8" t="s">
        <v>9</v>
      </c>
      <c r="F8">
        <v>1</v>
      </c>
      <c r="G8">
        <v>1</v>
      </c>
      <c r="H8">
        <v>-1</v>
      </c>
      <c r="I8">
        <v>0</v>
      </c>
      <c r="J8">
        <v>1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0</v>
      </c>
      <c r="T8">
        <v>0</v>
      </c>
      <c r="U8">
        <v>1</v>
      </c>
      <c r="V8">
        <v>-1</v>
      </c>
      <c r="W8">
        <v>0</v>
      </c>
      <c r="X8">
        <v>0</v>
      </c>
      <c r="Y8">
        <v>-1</v>
      </c>
      <c r="Z8">
        <v>-1</v>
      </c>
      <c r="AA8">
        <v>0</v>
      </c>
      <c r="AB8">
        <v>1</v>
      </c>
      <c r="AC8">
        <v>0</v>
      </c>
      <c r="AD8">
        <v>0</v>
      </c>
      <c r="AE8" s="4">
        <f t="shared" si="1"/>
        <v>6</v>
      </c>
      <c r="AF8" s="5">
        <f t="shared" si="2"/>
        <v>11</v>
      </c>
      <c r="AG8" s="6">
        <f t="shared" si="3"/>
        <v>8</v>
      </c>
    </row>
    <row r="9" spans="1:33" x14ac:dyDescent="0.35">
      <c r="A9" s="1">
        <v>3</v>
      </c>
      <c r="B9" s="1" t="s">
        <v>29</v>
      </c>
      <c r="C9" s="1">
        <v>7</v>
      </c>
      <c r="D9" s="1" t="str">
        <f>"000012211791"</f>
        <v>000012211791</v>
      </c>
      <c r="E9" t="s">
        <v>10</v>
      </c>
      <c r="F9">
        <v>0</v>
      </c>
      <c r="G9">
        <v>-1</v>
      </c>
      <c r="H9">
        <v>-1</v>
      </c>
      <c r="I9">
        <v>0</v>
      </c>
      <c r="J9">
        <v>0</v>
      </c>
      <c r="K9">
        <v>-1</v>
      </c>
      <c r="L9">
        <v>1</v>
      </c>
      <c r="M9">
        <v>-1</v>
      </c>
      <c r="N9">
        <v>0</v>
      </c>
      <c r="O9">
        <v>0</v>
      </c>
      <c r="P9">
        <v>0</v>
      </c>
      <c r="Q9">
        <v>-1</v>
      </c>
      <c r="R9">
        <v>-1</v>
      </c>
      <c r="S9">
        <v>1</v>
      </c>
      <c r="T9">
        <v>0</v>
      </c>
      <c r="U9">
        <v>0</v>
      </c>
      <c r="V9">
        <v>-1</v>
      </c>
      <c r="W9">
        <v>-1</v>
      </c>
      <c r="X9">
        <v>-1</v>
      </c>
      <c r="Y9">
        <v>1</v>
      </c>
      <c r="Z9">
        <v>-1</v>
      </c>
      <c r="AA9">
        <v>-1</v>
      </c>
      <c r="AB9">
        <v>1</v>
      </c>
      <c r="AC9">
        <v>0</v>
      </c>
      <c r="AD9">
        <v>-1</v>
      </c>
      <c r="AE9" s="4">
        <f t="shared" si="1"/>
        <v>4</v>
      </c>
      <c r="AF9" s="5">
        <f t="shared" si="2"/>
        <v>12</v>
      </c>
      <c r="AG9" s="6">
        <f t="shared" si="3"/>
        <v>9</v>
      </c>
    </row>
    <row r="10" spans="1:33" x14ac:dyDescent="0.35">
      <c r="A10" s="1">
        <v>3</v>
      </c>
      <c r="B10" s="1" t="s">
        <v>29</v>
      </c>
      <c r="C10" s="1">
        <v>8</v>
      </c>
      <c r="D10" s="1" t="str">
        <f>"000012233392"</f>
        <v>000012233392</v>
      </c>
      <c r="E10" t="s">
        <v>11</v>
      </c>
      <c r="F10">
        <v>-1</v>
      </c>
      <c r="G10">
        <v>-1</v>
      </c>
      <c r="H10">
        <v>-1</v>
      </c>
      <c r="I10">
        <v>-1</v>
      </c>
      <c r="J10">
        <v>1</v>
      </c>
      <c r="K10">
        <v>1</v>
      </c>
      <c r="L10">
        <v>1</v>
      </c>
      <c r="M10">
        <v>-1</v>
      </c>
      <c r="N10">
        <v>-1</v>
      </c>
      <c r="O10">
        <v>-1</v>
      </c>
      <c r="P10">
        <v>0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0</v>
      </c>
      <c r="W10">
        <v>0</v>
      </c>
      <c r="X10">
        <v>0</v>
      </c>
      <c r="Y10">
        <v>-1</v>
      </c>
      <c r="Z10">
        <v>0</v>
      </c>
      <c r="AA10">
        <v>0</v>
      </c>
      <c r="AB10">
        <v>0</v>
      </c>
      <c r="AC10">
        <v>0</v>
      </c>
      <c r="AD10">
        <v>0</v>
      </c>
      <c r="AE10" s="4">
        <f t="shared" si="1"/>
        <v>3</v>
      </c>
      <c r="AF10" s="5">
        <f t="shared" si="2"/>
        <v>13</v>
      </c>
      <c r="AG10" s="6">
        <f t="shared" si="3"/>
        <v>9</v>
      </c>
    </row>
    <row r="11" spans="1:33" x14ac:dyDescent="0.35">
      <c r="A11" s="1">
        <v>3</v>
      </c>
      <c r="B11" s="1" t="s">
        <v>29</v>
      </c>
      <c r="C11" s="1">
        <v>9</v>
      </c>
      <c r="D11" s="1" t="str">
        <f>"000012220361"</f>
        <v>000012220361</v>
      </c>
      <c r="E11" t="s">
        <v>12</v>
      </c>
      <c r="F11">
        <v>1</v>
      </c>
      <c r="G11">
        <v>1</v>
      </c>
      <c r="H11">
        <v>-1</v>
      </c>
      <c r="I11">
        <v>-1</v>
      </c>
      <c r="J11">
        <v>1</v>
      </c>
      <c r="K11">
        <v>1</v>
      </c>
      <c r="L11">
        <v>-1</v>
      </c>
      <c r="M11">
        <v>-1</v>
      </c>
      <c r="N11">
        <v>-1</v>
      </c>
      <c r="O11">
        <v>1</v>
      </c>
      <c r="P11">
        <v>0</v>
      </c>
      <c r="Q11">
        <v>-1</v>
      </c>
      <c r="R11">
        <v>-1</v>
      </c>
      <c r="S11">
        <v>1</v>
      </c>
      <c r="T11">
        <v>1</v>
      </c>
      <c r="U11">
        <v>1</v>
      </c>
      <c r="V11">
        <v>-1</v>
      </c>
      <c r="W11">
        <v>-1</v>
      </c>
      <c r="X11">
        <v>-1</v>
      </c>
      <c r="Y11">
        <v>1</v>
      </c>
      <c r="Z11">
        <v>-1</v>
      </c>
      <c r="AA11">
        <v>-1</v>
      </c>
      <c r="AB11">
        <v>-1</v>
      </c>
      <c r="AC11">
        <v>0</v>
      </c>
      <c r="AD11">
        <v>-1</v>
      </c>
      <c r="AE11" s="4">
        <f t="shared" si="1"/>
        <v>9</v>
      </c>
      <c r="AF11" s="5">
        <f t="shared" si="2"/>
        <v>14</v>
      </c>
      <c r="AG11" s="6">
        <f t="shared" si="3"/>
        <v>2</v>
      </c>
    </row>
    <row r="12" spans="1:33" x14ac:dyDescent="0.35">
      <c r="A12" s="1">
        <v>3</v>
      </c>
      <c r="B12" s="1" t="s">
        <v>29</v>
      </c>
      <c r="C12" s="1">
        <v>10</v>
      </c>
      <c r="D12" s="1" t="str">
        <f>"000012220347"</f>
        <v>000012220347</v>
      </c>
      <c r="E12" t="s">
        <v>13</v>
      </c>
      <c r="F12">
        <v>1</v>
      </c>
      <c r="G12">
        <v>0</v>
      </c>
      <c r="H12">
        <v>-1</v>
      </c>
      <c r="I12">
        <v>0</v>
      </c>
      <c r="J12">
        <v>1</v>
      </c>
      <c r="K12">
        <v>1</v>
      </c>
      <c r="L12">
        <v>1</v>
      </c>
      <c r="M12">
        <v>-1</v>
      </c>
      <c r="N12">
        <v>0</v>
      </c>
      <c r="O12">
        <v>-1</v>
      </c>
      <c r="P12">
        <v>0</v>
      </c>
      <c r="Q12">
        <v>-1</v>
      </c>
      <c r="R12">
        <v>-1</v>
      </c>
      <c r="S12">
        <v>0</v>
      </c>
      <c r="T12">
        <v>-1</v>
      </c>
      <c r="U12">
        <v>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0</v>
      </c>
      <c r="AB12">
        <v>0</v>
      </c>
      <c r="AC12">
        <v>0</v>
      </c>
      <c r="AD12">
        <v>-1</v>
      </c>
      <c r="AE12" s="4">
        <f t="shared" si="1"/>
        <v>5</v>
      </c>
      <c r="AF12" s="5">
        <f t="shared" si="2"/>
        <v>12</v>
      </c>
      <c r="AG12" s="6">
        <f t="shared" si="3"/>
        <v>8</v>
      </c>
    </row>
    <row r="13" spans="1:33" x14ac:dyDescent="0.35">
      <c r="A13" s="1">
        <v>3</v>
      </c>
      <c r="B13" s="1" t="s">
        <v>29</v>
      </c>
      <c r="C13" s="1">
        <v>11</v>
      </c>
      <c r="D13" s="1" t="str">
        <f>"000012210921"</f>
        <v>000012210921</v>
      </c>
      <c r="E13" t="s">
        <v>14</v>
      </c>
      <c r="F13">
        <v>1</v>
      </c>
      <c r="G13">
        <v>1</v>
      </c>
      <c r="H13">
        <v>1</v>
      </c>
      <c r="I13">
        <v>-1</v>
      </c>
      <c r="J13">
        <v>-1</v>
      </c>
      <c r="K13">
        <v>1</v>
      </c>
      <c r="L13">
        <v>1</v>
      </c>
      <c r="M13">
        <v>1</v>
      </c>
      <c r="N13">
        <v>-1</v>
      </c>
      <c r="O13">
        <v>1</v>
      </c>
      <c r="P13">
        <v>-1</v>
      </c>
      <c r="Q13">
        <v>-1</v>
      </c>
      <c r="R13">
        <v>1</v>
      </c>
      <c r="S13">
        <v>1</v>
      </c>
      <c r="T13">
        <v>1</v>
      </c>
      <c r="U13">
        <v>-1</v>
      </c>
      <c r="V13">
        <v>1</v>
      </c>
      <c r="W13">
        <v>-1</v>
      </c>
      <c r="X13">
        <v>-1</v>
      </c>
      <c r="Y13">
        <v>1</v>
      </c>
      <c r="Z13">
        <v>1</v>
      </c>
      <c r="AA13">
        <v>-1</v>
      </c>
      <c r="AB13">
        <v>1</v>
      </c>
      <c r="AC13">
        <v>-1</v>
      </c>
      <c r="AD13">
        <v>-1</v>
      </c>
      <c r="AE13" s="4">
        <f t="shared" si="1"/>
        <v>14</v>
      </c>
      <c r="AF13" s="5">
        <f t="shared" si="2"/>
        <v>11</v>
      </c>
      <c r="AG13" s="6">
        <f t="shared" si="3"/>
        <v>0</v>
      </c>
    </row>
    <row r="14" spans="1:33" x14ac:dyDescent="0.35">
      <c r="A14" s="1">
        <v>3</v>
      </c>
      <c r="B14" s="1" t="s">
        <v>29</v>
      </c>
      <c r="C14" s="1">
        <v>12</v>
      </c>
      <c r="D14" s="1" t="str">
        <f>"000012211041"</f>
        <v>000012211041</v>
      </c>
      <c r="E14" t="s">
        <v>15</v>
      </c>
      <c r="F14">
        <v>1</v>
      </c>
      <c r="G14">
        <v>1</v>
      </c>
      <c r="H14">
        <v>-1</v>
      </c>
      <c r="I14">
        <v>0</v>
      </c>
      <c r="J14">
        <v>1</v>
      </c>
      <c r="K14">
        <v>1</v>
      </c>
      <c r="L14">
        <v>1</v>
      </c>
      <c r="M14">
        <v>-1</v>
      </c>
      <c r="N14">
        <v>-1</v>
      </c>
      <c r="O14">
        <v>1</v>
      </c>
      <c r="P14">
        <v>0</v>
      </c>
      <c r="Q14">
        <v>-1</v>
      </c>
      <c r="R14">
        <v>-1</v>
      </c>
      <c r="S14">
        <v>-1</v>
      </c>
      <c r="T14">
        <v>1</v>
      </c>
      <c r="U14">
        <v>1</v>
      </c>
      <c r="V14">
        <v>-1</v>
      </c>
      <c r="W14">
        <v>-1</v>
      </c>
      <c r="X14">
        <v>-1</v>
      </c>
      <c r="Y14">
        <v>-1</v>
      </c>
      <c r="Z14">
        <v>0</v>
      </c>
      <c r="AA14">
        <v>0</v>
      </c>
      <c r="AB14">
        <v>0</v>
      </c>
      <c r="AC14">
        <v>0</v>
      </c>
      <c r="AD14">
        <v>0</v>
      </c>
      <c r="AE14" s="4">
        <f t="shared" si="1"/>
        <v>8</v>
      </c>
      <c r="AF14" s="5">
        <f t="shared" si="2"/>
        <v>10</v>
      </c>
      <c r="AG14" s="6">
        <f t="shared" si="3"/>
        <v>7</v>
      </c>
    </row>
    <row r="15" spans="1:33" x14ac:dyDescent="0.35">
      <c r="A15" s="1">
        <v>3</v>
      </c>
      <c r="B15" s="1" t="s">
        <v>29</v>
      </c>
      <c r="C15" s="1">
        <v>13</v>
      </c>
      <c r="D15" s="1" t="str">
        <f>"000012211397"</f>
        <v>000012211397</v>
      </c>
      <c r="E15" t="s">
        <v>16</v>
      </c>
      <c r="F15">
        <v>-1</v>
      </c>
      <c r="G15">
        <v>0</v>
      </c>
      <c r="H15">
        <v>-1</v>
      </c>
      <c r="I15">
        <v>-1</v>
      </c>
      <c r="J15">
        <v>-1</v>
      </c>
      <c r="K15">
        <v>1</v>
      </c>
      <c r="L15">
        <v>-1</v>
      </c>
      <c r="M15">
        <v>-1</v>
      </c>
      <c r="N15">
        <v>0</v>
      </c>
      <c r="O15">
        <v>-1</v>
      </c>
      <c r="P15">
        <v>0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0</v>
      </c>
      <c r="X15">
        <v>0</v>
      </c>
      <c r="Y15">
        <v>-1</v>
      </c>
      <c r="Z15">
        <v>0</v>
      </c>
      <c r="AA15">
        <v>0</v>
      </c>
      <c r="AB15">
        <v>0</v>
      </c>
      <c r="AC15">
        <v>0</v>
      </c>
      <c r="AD15">
        <v>0</v>
      </c>
      <c r="AE15" s="4">
        <f t="shared" si="1"/>
        <v>1</v>
      </c>
      <c r="AF15" s="5">
        <f t="shared" si="2"/>
        <v>14</v>
      </c>
      <c r="AG15" s="6">
        <f t="shared" si="3"/>
        <v>10</v>
      </c>
    </row>
    <row r="16" spans="1:33" x14ac:dyDescent="0.35">
      <c r="A16" s="1">
        <v>3</v>
      </c>
      <c r="B16" s="1" t="s">
        <v>29</v>
      </c>
      <c r="C16" s="1">
        <v>14</v>
      </c>
      <c r="D16" s="1" t="str">
        <f>"000012230871"</f>
        <v>000012230871</v>
      </c>
      <c r="E16" t="s">
        <v>17</v>
      </c>
      <c r="F16">
        <v>1</v>
      </c>
      <c r="G16">
        <v>0</v>
      </c>
      <c r="H16">
        <v>0</v>
      </c>
      <c r="I16">
        <v>0</v>
      </c>
      <c r="J16">
        <v>-1</v>
      </c>
      <c r="K16">
        <v>1</v>
      </c>
      <c r="L16">
        <v>-1</v>
      </c>
      <c r="M16">
        <v>1</v>
      </c>
      <c r="N16">
        <v>-1</v>
      </c>
      <c r="O16">
        <v>-1</v>
      </c>
      <c r="P16">
        <v>0</v>
      </c>
      <c r="Q16">
        <v>-1</v>
      </c>
      <c r="R16">
        <v>-1</v>
      </c>
      <c r="S16">
        <v>0</v>
      </c>
      <c r="T16">
        <v>1</v>
      </c>
      <c r="U16">
        <v>2</v>
      </c>
      <c r="V16">
        <v>-1</v>
      </c>
      <c r="W16">
        <v>-1</v>
      </c>
      <c r="X16">
        <v>-1</v>
      </c>
      <c r="Y16">
        <v>-1</v>
      </c>
      <c r="Z16">
        <v>1</v>
      </c>
      <c r="AA16">
        <v>1</v>
      </c>
      <c r="AB16">
        <v>-1</v>
      </c>
      <c r="AC16">
        <v>0</v>
      </c>
      <c r="AD16">
        <v>-1</v>
      </c>
      <c r="AE16" s="4">
        <f t="shared" si="1"/>
        <v>8</v>
      </c>
      <c r="AF16" s="5">
        <f t="shared" si="2"/>
        <v>12</v>
      </c>
      <c r="AG16" s="6">
        <f t="shared" si="3"/>
        <v>6</v>
      </c>
    </row>
    <row r="17" spans="1:33" x14ac:dyDescent="0.35">
      <c r="A17" s="1">
        <v>3</v>
      </c>
      <c r="B17" s="1" t="s">
        <v>29</v>
      </c>
      <c r="C17" s="1">
        <v>15</v>
      </c>
      <c r="D17" s="1" t="str">
        <f>"000012222153"</f>
        <v>000012222153</v>
      </c>
      <c r="E17" t="s">
        <v>18</v>
      </c>
      <c r="F17">
        <v>1</v>
      </c>
      <c r="G17">
        <v>1</v>
      </c>
      <c r="H17">
        <v>-1</v>
      </c>
      <c r="I17">
        <v>0</v>
      </c>
      <c r="J17">
        <v>1</v>
      </c>
      <c r="K17">
        <v>-1</v>
      </c>
      <c r="L17">
        <v>-1</v>
      </c>
      <c r="M17">
        <v>-1</v>
      </c>
      <c r="N17">
        <v>0</v>
      </c>
      <c r="O17">
        <v>1</v>
      </c>
      <c r="P17">
        <v>0</v>
      </c>
      <c r="Q17">
        <v>-1</v>
      </c>
      <c r="R17">
        <v>-1</v>
      </c>
      <c r="S17">
        <v>0</v>
      </c>
      <c r="T17">
        <v>1</v>
      </c>
      <c r="U17">
        <v>-1</v>
      </c>
      <c r="V17">
        <v>0</v>
      </c>
      <c r="W17">
        <v>0</v>
      </c>
      <c r="X17">
        <v>0</v>
      </c>
      <c r="Y17">
        <v>-1</v>
      </c>
      <c r="Z17">
        <v>0</v>
      </c>
      <c r="AA17">
        <v>0</v>
      </c>
      <c r="AB17">
        <v>0</v>
      </c>
      <c r="AC17">
        <v>0</v>
      </c>
      <c r="AD17">
        <v>0</v>
      </c>
      <c r="AE17" s="4">
        <f t="shared" si="1"/>
        <v>5</v>
      </c>
      <c r="AF17" s="5">
        <f t="shared" si="2"/>
        <v>8</v>
      </c>
      <c r="AG17" s="6">
        <f t="shared" si="3"/>
        <v>12</v>
      </c>
    </row>
    <row r="18" spans="1:33" x14ac:dyDescent="0.35">
      <c r="A18" s="1">
        <v>3</v>
      </c>
      <c r="B18" s="1" t="s">
        <v>29</v>
      </c>
      <c r="C18" s="1">
        <v>16</v>
      </c>
      <c r="D18" s="1" t="str">
        <f>"000012233228"</f>
        <v>000012233228</v>
      </c>
      <c r="E18" t="s">
        <v>19</v>
      </c>
      <c r="F18">
        <v>-1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-1</v>
      </c>
      <c r="N18">
        <v>-1</v>
      </c>
      <c r="O18">
        <v>1</v>
      </c>
      <c r="P18">
        <v>0</v>
      </c>
      <c r="Q18">
        <v>-1</v>
      </c>
      <c r="R18">
        <v>-1</v>
      </c>
      <c r="S18">
        <v>-1</v>
      </c>
      <c r="T18">
        <v>0</v>
      </c>
      <c r="U18">
        <v>-1</v>
      </c>
      <c r="V18">
        <v>1</v>
      </c>
      <c r="W18">
        <v>-1</v>
      </c>
      <c r="X18">
        <v>-1</v>
      </c>
      <c r="Y18">
        <v>-1</v>
      </c>
      <c r="Z18">
        <v>0</v>
      </c>
      <c r="AA18">
        <v>0</v>
      </c>
      <c r="AB18">
        <v>0</v>
      </c>
      <c r="AC18">
        <v>0</v>
      </c>
      <c r="AD18">
        <v>-1</v>
      </c>
      <c r="AE18" s="4">
        <f t="shared" si="1"/>
        <v>6</v>
      </c>
      <c r="AF18" s="5">
        <f t="shared" si="2"/>
        <v>11</v>
      </c>
      <c r="AG18" s="6">
        <f t="shared" si="3"/>
        <v>8</v>
      </c>
    </row>
    <row r="19" spans="1:33" x14ac:dyDescent="0.35">
      <c r="A19" s="1">
        <v>3</v>
      </c>
      <c r="B19" s="1" t="s">
        <v>29</v>
      </c>
      <c r="C19" s="1">
        <v>17</v>
      </c>
      <c r="D19" s="1" t="str">
        <f>"000012233812"</f>
        <v>000012233812</v>
      </c>
      <c r="E19" t="s">
        <v>20</v>
      </c>
      <c r="F19">
        <v>1</v>
      </c>
      <c r="G19">
        <v>-1</v>
      </c>
      <c r="H19">
        <v>-1</v>
      </c>
      <c r="I19">
        <v>-1</v>
      </c>
      <c r="J19">
        <v>1</v>
      </c>
      <c r="K19">
        <v>-1</v>
      </c>
      <c r="L19">
        <v>0</v>
      </c>
      <c r="M19">
        <v>-1</v>
      </c>
      <c r="N19">
        <v>-1</v>
      </c>
      <c r="O19">
        <v>1</v>
      </c>
      <c r="P19">
        <v>0</v>
      </c>
      <c r="Q19">
        <v>0</v>
      </c>
      <c r="R19">
        <v>-1</v>
      </c>
      <c r="S19">
        <v>0</v>
      </c>
      <c r="T19">
        <v>-1</v>
      </c>
      <c r="U19">
        <v>1</v>
      </c>
      <c r="V19">
        <v>0</v>
      </c>
      <c r="W19">
        <v>-1</v>
      </c>
      <c r="X19">
        <v>-1</v>
      </c>
      <c r="Y19">
        <v>-1</v>
      </c>
      <c r="Z19">
        <v>-1</v>
      </c>
      <c r="AA19">
        <v>0</v>
      </c>
      <c r="AB19">
        <v>0</v>
      </c>
      <c r="AC19">
        <v>0</v>
      </c>
      <c r="AD19">
        <v>0</v>
      </c>
      <c r="AE19" s="4">
        <f t="shared" si="1"/>
        <v>4</v>
      </c>
      <c r="AF19" s="5">
        <f t="shared" si="2"/>
        <v>12</v>
      </c>
      <c r="AG19" s="6">
        <f t="shared" si="3"/>
        <v>9</v>
      </c>
    </row>
    <row r="20" spans="1:33" x14ac:dyDescent="0.35">
      <c r="A20" s="1">
        <v>3</v>
      </c>
      <c r="B20" s="1" t="s">
        <v>29</v>
      </c>
      <c r="C20" s="1">
        <v>18</v>
      </c>
      <c r="D20" s="1" t="str">
        <f>"000012232742"</f>
        <v>000012232742</v>
      </c>
      <c r="E20" t="s">
        <v>21</v>
      </c>
      <c r="F20">
        <v>0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0</v>
      </c>
      <c r="Q20">
        <v>-1</v>
      </c>
      <c r="R20">
        <v>-1</v>
      </c>
      <c r="S20">
        <v>-1</v>
      </c>
      <c r="T20">
        <v>-1</v>
      </c>
      <c r="U20">
        <v>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 s="4">
        <f t="shared" si="1"/>
        <v>1</v>
      </c>
      <c r="AF20" s="5">
        <f t="shared" si="2"/>
        <v>22</v>
      </c>
      <c r="AG20" s="6">
        <f t="shared" si="3"/>
        <v>2</v>
      </c>
    </row>
    <row r="21" spans="1:33" x14ac:dyDescent="0.35">
      <c r="A21" s="1">
        <v>3</v>
      </c>
      <c r="B21" s="1" t="s">
        <v>29</v>
      </c>
      <c r="C21" s="1">
        <v>19</v>
      </c>
      <c r="D21" s="1" t="str">
        <f>"000012222311"</f>
        <v>000012222311</v>
      </c>
      <c r="E21" t="s">
        <v>22</v>
      </c>
      <c r="F21">
        <v>1</v>
      </c>
      <c r="G21">
        <v>1</v>
      </c>
      <c r="H21">
        <v>-1</v>
      </c>
      <c r="I21">
        <v>0</v>
      </c>
      <c r="J21">
        <v>1</v>
      </c>
      <c r="K21">
        <v>-1</v>
      </c>
      <c r="L21">
        <v>1</v>
      </c>
      <c r="M21">
        <v>-1</v>
      </c>
      <c r="N21">
        <v>-1</v>
      </c>
      <c r="O21">
        <v>2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 s="4">
        <f t="shared" si="1"/>
        <v>7</v>
      </c>
      <c r="AF21" s="5">
        <f t="shared" si="2"/>
        <v>18</v>
      </c>
      <c r="AG21" s="6">
        <f t="shared" si="3"/>
        <v>1</v>
      </c>
    </row>
    <row r="22" spans="1:33" x14ac:dyDescent="0.35">
      <c r="A22" s="1">
        <v>3</v>
      </c>
      <c r="B22" s="1" t="s">
        <v>29</v>
      </c>
      <c r="C22" s="1">
        <v>20</v>
      </c>
      <c r="D22" s="1" t="str">
        <f>"000012222669"</f>
        <v>000012222669</v>
      </c>
      <c r="E22" t="s">
        <v>23</v>
      </c>
      <c r="F22">
        <v>1</v>
      </c>
      <c r="G22">
        <v>1</v>
      </c>
      <c r="H22">
        <v>-1</v>
      </c>
      <c r="I22">
        <v>-1</v>
      </c>
      <c r="J22">
        <v>1</v>
      </c>
      <c r="K22">
        <v>1</v>
      </c>
      <c r="L22">
        <v>0</v>
      </c>
      <c r="M22">
        <v>1</v>
      </c>
      <c r="N22">
        <v>-1</v>
      </c>
      <c r="O22">
        <v>2</v>
      </c>
      <c r="P22">
        <v>-1</v>
      </c>
      <c r="Q22">
        <v>-1</v>
      </c>
      <c r="R22">
        <v>-1</v>
      </c>
      <c r="S22">
        <v>1</v>
      </c>
      <c r="T22">
        <v>1</v>
      </c>
      <c r="U22">
        <v>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0</v>
      </c>
      <c r="AD22">
        <v>-1</v>
      </c>
      <c r="AE22" s="4">
        <f t="shared" si="1"/>
        <v>10</v>
      </c>
      <c r="AF22" s="5">
        <f t="shared" si="2"/>
        <v>14</v>
      </c>
      <c r="AG22" s="6">
        <f t="shared" si="3"/>
        <v>2</v>
      </c>
    </row>
    <row r="23" spans="1:33" x14ac:dyDescent="0.35">
      <c r="A23" s="1">
        <v>3</v>
      </c>
      <c r="B23" s="1" t="s">
        <v>29</v>
      </c>
      <c r="C23" s="1">
        <v>21</v>
      </c>
      <c r="D23" s="1" t="str">
        <f>"000012220671"</f>
        <v>000012220671</v>
      </c>
      <c r="E23" t="s">
        <v>24</v>
      </c>
      <c r="F23">
        <v>1</v>
      </c>
      <c r="G23">
        <v>1</v>
      </c>
      <c r="H23">
        <v>1</v>
      </c>
      <c r="I23">
        <v>-1</v>
      </c>
      <c r="J23">
        <v>1</v>
      </c>
      <c r="K23">
        <v>-1</v>
      </c>
      <c r="L23">
        <v>-1</v>
      </c>
      <c r="M23">
        <v>-1</v>
      </c>
      <c r="N23">
        <v>0</v>
      </c>
      <c r="O23">
        <v>1</v>
      </c>
      <c r="P23">
        <v>-1</v>
      </c>
      <c r="Q23">
        <v>-1</v>
      </c>
      <c r="R23">
        <v>0</v>
      </c>
      <c r="S23">
        <v>1</v>
      </c>
      <c r="T23">
        <v>1</v>
      </c>
      <c r="U23">
        <v>1</v>
      </c>
      <c r="V23">
        <v>-1</v>
      </c>
      <c r="W23">
        <v>0</v>
      </c>
      <c r="X23">
        <v>-1</v>
      </c>
      <c r="Y23">
        <v>-1</v>
      </c>
      <c r="Z23">
        <v>-1</v>
      </c>
      <c r="AA23">
        <v>0</v>
      </c>
      <c r="AB23">
        <v>-1</v>
      </c>
      <c r="AC23">
        <v>0</v>
      </c>
      <c r="AD23">
        <v>-1</v>
      </c>
      <c r="AE23" s="4">
        <f t="shared" si="1"/>
        <v>8</v>
      </c>
      <c r="AF23" s="5">
        <f t="shared" si="2"/>
        <v>12</v>
      </c>
      <c r="AG23" s="6">
        <f t="shared" si="3"/>
        <v>5</v>
      </c>
    </row>
    <row r="24" spans="1:33" x14ac:dyDescent="0.35">
      <c r="A24" s="1">
        <v>3</v>
      </c>
      <c r="B24" s="1" t="s">
        <v>29</v>
      </c>
      <c r="C24" s="1">
        <v>22</v>
      </c>
      <c r="D24" s="1" t="str">
        <f>"000012230991"</f>
        <v>000012230991</v>
      </c>
      <c r="E24" t="s">
        <v>25</v>
      </c>
      <c r="F24">
        <v>-1</v>
      </c>
      <c r="G24">
        <v>-1</v>
      </c>
      <c r="H24">
        <v>-1</v>
      </c>
      <c r="I24">
        <v>0</v>
      </c>
      <c r="J24">
        <v>1</v>
      </c>
      <c r="K24">
        <v>-1</v>
      </c>
      <c r="L24">
        <v>-1</v>
      </c>
      <c r="M24">
        <v>-1</v>
      </c>
      <c r="N24">
        <v>0</v>
      </c>
      <c r="O24">
        <v>1</v>
      </c>
      <c r="P24">
        <v>0</v>
      </c>
      <c r="Q24">
        <v>-1</v>
      </c>
      <c r="R24">
        <v>-1</v>
      </c>
      <c r="S24">
        <v>-1</v>
      </c>
      <c r="T24">
        <v>1</v>
      </c>
      <c r="U24">
        <v>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 s="4">
        <f t="shared" si="1"/>
        <v>4</v>
      </c>
      <c r="AF24" s="5">
        <f t="shared" si="2"/>
        <v>18</v>
      </c>
      <c r="AG24" s="6">
        <f t="shared" si="3"/>
        <v>3</v>
      </c>
    </row>
    <row r="25" spans="1:33" x14ac:dyDescent="0.35">
      <c r="A25" s="1">
        <v>3</v>
      </c>
      <c r="B25" s="1" t="s">
        <v>29</v>
      </c>
      <c r="C25" s="1">
        <v>23</v>
      </c>
      <c r="D25" s="1" t="str">
        <f>"000012220085"</f>
        <v>000012220085</v>
      </c>
      <c r="E25" t="s">
        <v>26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-1</v>
      </c>
      <c r="M25">
        <v>-1</v>
      </c>
      <c r="N25">
        <v>-1</v>
      </c>
      <c r="O25">
        <v>-1</v>
      </c>
      <c r="P25">
        <v>0</v>
      </c>
      <c r="Q25">
        <v>-1</v>
      </c>
      <c r="R25">
        <v>-1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-1</v>
      </c>
      <c r="Z25">
        <v>0</v>
      </c>
      <c r="AA25">
        <v>0</v>
      </c>
      <c r="AB25">
        <v>0</v>
      </c>
      <c r="AC25">
        <v>0</v>
      </c>
      <c r="AD25">
        <v>0</v>
      </c>
      <c r="AE25" s="4">
        <f t="shared" si="1"/>
        <v>3</v>
      </c>
      <c r="AF25" s="5">
        <f t="shared" si="2"/>
        <v>7</v>
      </c>
      <c r="AG25" s="6">
        <f t="shared" si="3"/>
        <v>15</v>
      </c>
    </row>
    <row r="26" spans="1:33" x14ac:dyDescent="0.35">
      <c r="A26" s="1">
        <v>3</v>
      </c>
      <c r="B26" s="1" t="s">
        <v>29</v>
      </c>
      <c r="C26" s="1">
        <v>24</v>
      </c>
      <c r="D26" s="1" t="str">
        <f>"000012211444"</f>
        <v>000012211444</v>
      </c>
      <c r="E26" t="s">
        <v>27</v>
      </c>
      <c r="F26">
        <v>-1</v>
      </c>
      <c r="G26">
        <v>-1</v>
      </c>
      <c r="H26">
        <v>-1</v>
      </c>
      <c r="I26">
        <v>-1</v>
      </c>
      <c r="J26">
        <v>1</v>
      </c>
      <c r="K26">
        <v>-1</v>
      </c>
      <c r="L26">
        <v>-1</v>
      </c>
      <c r="M26">
        <v>-1</v>
      </c>
      <c r="N26">
        <v>-1</v>
      </c>
      <c r="O26">
        <v>1</v>
      </c>
      <c r="P26">
        <v>-1</v>
      </c>
      <c r="Q26">
        <v>-1</v>
      </c>
      <c r="R26">
        <v>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1</v>
      </c>
      <c r="AC26">
        <v>-1</v>
      </c>
      <c r="AD26">
        <v>-1</v>
      </c>
      <c r="AE26" s="4">
        <f t="shared" si="1"/>
        <v>4</v>
      </c>
      <c r="AF26" s="5">
        <f t="shared" si="2"/>
        <v>21</v>
      </c>
      <c r="AG26" s="6">
        <f t="shared" si="3"/>
        <v>0</v>
      </c>
    </row>
    <row r="27" spans="1:33" x14ac:dyDescent="0.35">
      <c r="A27" s="1">
        <v>3</v>
      </c>
      <c r="B27" s="1" t="s">
        <v>32</v>
      </c>
      <c r="C27" s="1">
        <v>1</v>
      </c>
      <c r="D27" s="1">
        <v>12250421</v>
      </c>
      <c r="E27" t="s">
        <v>33</v>
      </c>
      <c r="F27" s="1">
        <v>1</v>
      </c>
      <c r="G27" s="1">
        <v>1</v>
      </c>
      <c r="H27" s="1">
        <v>-1</v>
      </c>
      <c r="I27" s="1">
        <v>-1</v>
      </c>
      <c r="J27" s="1">
        <v>1</v>
      </c>
      <c r="K27" s="1">
        <v>1</v>
      </c>
      <c r="L27" s="1">
        <v>-1</v>
      </c>
      <c r="M27" s="1">
        <v>-1</v>
      </c>
      <c r="N27" s="1">
        <v>0</v>
      </c>
      <c r="O27" s="1">
        <v>1</v>
      </c>
      <c r="P27" s="1">
        <v>-1</v>
      </c>
      <c r="Q27" s="1">
        <v>-1</v>
      </c>
      <c r="R27" s="1">
        <v>-1</v>
      </c>
      <c r="S27" s="1">
        <v>1</v>
      </c>
      <c r="T27" s="1">
        <v>-1</v>
      </c>
      <c r="U27" s="1">
        <v>-1</v>
      </c>
      <c r="V27" s="1">
        <v>-1</v>
      </c>
      <c r="W27" s="1">
        <v>-1</v>
      </c>
      <c r="X27" s="1">
        <v>-1</v>
      </c>
      <c r="Y27" s="1">
        <v>1</v>
      </c>
      <c r="Z27" s="1">
        <v>-1</v>
      </c>
      <c r="AA27" s="1">
        <v>-1</v>
      </c>
      <c r="AB27" s="1">
        <v>-1</v>
      </c>
      <c r="AC27" s="1">
        <v>-1</v>
      </c>
      <c r="AD27" s="1">
        <v>0</v>
      </c>
      <c r="AE27" s="4">
        <f t="shared" ref="AE9:AE29" si="4">COUNTIF(F27:AD27,1) + COUNTIF(F27:AD27,2)*2</f>
        <v>7</v>
      </c>
      <c r="AF27" s="5">
        <f t="shared" si="2"/>
        <v>16</v>
      </c>
      <c r="AG27" s="6">
        <f t="shared" si="3"/>
        <v>2</v>
      </c>
    </row>
    <row r="28" spans="1:33" x14ac:dyDescent="0.35">
      <c r="A28" s="1">
        <v>3</v>
      </c>
      <c r="B28" s="1" t="s">
        <v>32</v>
      </c>
      <c r="C28" s="1">
        <v>2</v>
      </c>
      <c r="D28" s="1">
        <v>12211659</v>
      </c>
      <c r="E28" t="s">
        <v>34</v>
      </c>
      <c r="F28" s="1">
        <v>-1</v>
      </c>
      <c r="G28" s="1">
        <v>-1</v>
      </c>
      <c r="H28" s="1">
        <v>-1</v>
      </c>
      <c r="I28" s="1">
        <v>-1</v>
      </c>
      <c r="J28" s="1">
        <v>1</v>
      </c>
      <c r="K28" s="1">
        <v>-1</v>
      </c>
      <c r="L28" s="1">
        <v>-1</v>
      </c>
      <c r="M28" s="1">
        <v>-1</v>
      </c>
      <c r="N28" s="1">
        <v>-1</v>
      </c>
      <c r="O28" s="1">
        <v>1</v>
      </c>
      <c r="P28" s="1">
        <v>0</v>
      </c>
      <c r="Q28" s="1">
        <v>-1</v>
      </c>
      <c r="R28" s="1">
        <v>-1</v>
      </c>
      <c r="S28" s="1">
        <v>-1</v>
      </c>
      <c r="T28" s="1">
        <v>-1</v>
      </c>
      <c r="U28" s="1">
        <v>1</v>
      </c>
      <c r="V28" s="1">
        <v>-1</v>
      </c>
      <c r="W28" s="1">
        <v>-1</v>
      </c>
      <c r="X28" s="1">
        <v>-1</v>
      </c>
      <c r="Y28" s="1">
        <v>-1</v>
      </c>
      <c r="Z28" s="1">
        <v>-1</v>
      </c>
      <c r="AA28" s="1">
        <v>-1</v>
      </c>
      <c r="AB28" s="1">
        <v>1</v>
      </c>
      <c r="AC28" s="1">
        <v>0</v>
      </c>
      <c r="AD28" s="1">
        <v>0</v>
      </c>
      <c r="AE28" s="4">
        <f t="shared" si="4"/>
        <v>4</v>
      </c>
      <c r="AF28" s="5">
        <f t="shared" si="2"/>
        <v>18</v>
      </c>
      <c r="AG28" s="6">
        <f t="shared" si="3"/>
        <v>3</v>
      </c>
    </row>
    <row r="29" spans="1:33" x14ac:dyDescent="0.35">
      <c r="A29" s="1">
        <v>3</v>
      </c>
      <c r="B29" s="1" t="s">
        <v>32</v>
      </c>
      <c r="C29" s="1">
        <v>3</v>
      </c>
      <c r="D29" s="1">
        <v>12230438</v>
      </c>
      <c r="E29" t="s">
        <v>35</v>
      </c>
      <c r="F29" s="1">
        <v>1</v>
      </c>
      <c r="G29" s="1">
        <v>1</v>
      </c>
      <c r="H29" s="1">
        <v>-1</v>
      </c>
      <c r="I29" s="1">
        <v>-1</v>
      </c>
      <c r="J29" s="1">
        <v>1</v>
      </c>
      <c r="K29" s="1">
        <v>1</v>
      </c>
      <c r="L29" s="1">
        <v>1</v>
      </c>
      <c r="M29" s="1">
        <v>1</v>
      </c>
      <c r="N29" s="1">
        <v>0</v>
      </c>
      <c r="O29" s="1">
        <v>1</v>
      </c>
      <c r="P29" s="1">
        <v>-1</v>
      </c>
      <c r="Q29" s="1">
        <v>-1</v>
      </c>
      <c r="R29" s="1">
        <v>1</v>
      </c>
      <c r="S29" s="1">
        <v>-1</v>
      </c>
      <c r="T29" s="1">
        <v>1</v>
      </c>
      <c r="U29" s="1">
        <v>1</v>
      </c>
      <c r="V29" s="1">
        <v>-1</v>
      </c>
      <c r="W29" s="1">
        <v>-1</v>
      </c>
      <c r="X29" s="1">
        <v>-1</v>
      </c>
      <c r="Y29" s="1">
        <v>1</v>
      </c>
      <c r="Z29" s="1">
        <v>-1</v>
      </c>
      <c r="AA29" s="1">
        <v>-1</v>
      </c>
      <c r="AB29" s="1">
        <v>1</v>
      </c>
      <c r="AC29" s="1">
        <v>-1</v>
      </c>
      <c r="AD29" s="1">
        <v>-1</v>
      </c>
      <c r="AE29" s="4">
        <f t="shared" si="4"/>
        <v>12</v>
      </c>
      <c r="AF29" s="5">
        <f t="shared" si="2"/>
        <v>12</v>
      </c>
      <c r="AG29" s="6">
        <f t="shared" si="3"/>
        <v>1</v>
      </c>
    </row>
    <row r="30" spans="1:33" x14ac:dyDescent="0.35">
      <c r="A30" s="1">
        <v>3</v>
      </c>
      <c r="B30" s="1" t="s">
        <v>32</v>
      </c>
      <c r="C30" s="1">
        <v>4</v>
      </c>
      <c r="D30" s="1">
        <v>12232989</v>
      </c>
      <c r="E30" t="s">
        <v>36</v>
      </c>
      <c r="F30" s="1">
        <v>1</v>
      </c>
      <c r="G30" s="1">
        <v>-1</v>
      </c>
      <c r="H30" s="1">
        <v>0</v>
      </c>
      <c r="I30" s="1">
        <v>0</v>
      </c>
      <c r="J30" s="1">
        <v>0</v>
      </c>
      <c r="K30" s="1">
        <v>-1</v>
      </c>
      <c r="L30" s="1">
        <v>-1</v>
      </c>
      <c r="M30" s="1">
        <v>-1</v>
      </c>
      <c r="N30">
        <v>0</v>
      </c>
      <c r="O30">
        <v>0</v>
      </c>
      <c r="P30" s="1">
        <v>0</v>
      </c>
      <c r="Q30" s="1">
        <v>-1</v>
      </c>
      <c r="R30" s="1">
        <v>-1</v>
      </c>
      <c r="S30" s="1">
        <v>0</v>
      </c>
      <c r="T30" s="1">
        <v>-1</v>
      </c>
      <c r="U30" s="1">
        <v>2</v>
      </c>
      <c r="V30" s="1">
        <v>-1</v>
      </c>
      <c r="W30" s="1">
        <v>-1</v>
      </c>
      <c r="X30" s="1">
        <v>-1</v>
      </c>
      <c r="Y30" s="1">
        <v>-1</v>
      </c>
      <c r="Z30" s="1">
        <v>-1</v>
      </c>
      <c r="AA30" s="1">
        <v>0</v>
      </c>
      <c r="AB30" s="1">
        <v>0</v>
      </c>
      <c r="AC30" s="1">
        <v>0</v>
      </c>
      <c r="AD30" s="1">
        <v>0</v>
      </c>
      <c r="AE30" s="4">
        <f>COUNTIF(F30:AD30,1) + COUNTIF(F30:AD30,2)*2</f>
        <v>3</v>
      </c>
      <c r="AF30" s="5">
        <f t="shared" si="2"/>
        <v>12</v>
      </c>
      <c r="AG30" s="6">
        <f t="shared" si="3"/>
        <v>11</v>
      </c>
    </row>
    <row r="31" spans="1:33" x14ac:dyDescent="0.35">
      <c r="A31" s="1">
        <v>3</v>
      </c>
      <c r="B31" s="1" t="s">
        <v>32</v>
      </c>
      <c r="C31" s="1">
        <v>5</v>
      </c>
      <c r="D31" s="1">
        <v>12221961</v>
      </c>
      <c r="E31" t="s">
        <v>37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-1</v>
      </c>
      <c r="L31" s="1">
        <v>1</v>
      </c>
      <c r="M31" s="1">
        <v>-1</v>
      </c>
      <c r="N31">
        <v>0</v>
      </c>
      <c r="O3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-1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4">
        <f t="shared" ref="AE31:AE50" si="5">COUNTIF(F31:AD31,1) + COUNTIF(F31:AD31,2)*2</f>
        <v>2</v>
      </c>
      <c r="AF31" s="5">
        <f t="shared" si="2"/>
        <v>3</v>
      </c>
      <c r="AG31" s="6">
        <f t="shared" si="3"/>
        <v>20</v>
      </c>
    </row>
    <row r="32" spans="1:33" x14ac:dyDescent="0.35">
      <c r="A32" s="1">
        <v>3</v>
      </c>
      <c r="B32" s="1" t="s">
        <v>32</v>
      </c>
      <c r="C32" s="1">
        <v>6</v>
      </c>
      <c r="D32" s="1">
        <v>12234115</v>
      </c>
      <c r="E32" t="s">
        <v>38</v>
      </c>
      <c r="F32" s="1">
        <v>1</v>
      </c>
      <c r="G32" s="1">
        <v>1</v>
      </c>
      <c r="H32" s="1">
        <v>-1</v>
      </c>
      <c r="I32" s="1">
        <v>0</v>
      </c>
      <c r="J32" s="1">
        <v>0</v>
      </c>
      <c r="K32" s="1">
        <v>1</v>
      </c>
      <c r="L32" s="1">
        <v>0</v>
      </c>
      <c r="M32" s="1">
        <v>-1</v>
      </c>
      <c r="N32" s="1">
        <v>-1</v>
      </c>
      <c r="O32" s="1">
        <v>2</v>
      </c>
      <c r="P32" s="1">
        <v>1</v>
      </c>
      <c r="Q32" s="1">
        <v>-1</v>
      </c>
      <c r="R32" s="1">
        <v>-1</v>
      </c>
      <c r="S32" s="1">
        <v>1</v>
      </c>
      <c r="T32" s="1">
        <v>1</v>
      </c>
      <c r="U32" s="1">
        <v>1</v>
      </c>
      <c r="V32" s="1">
        <v>-1</v>
      </c>
      <c r="W32" s="1">
        <v>1</v>
      </c>
      <c r="X32" s="1">
        <v>-1</v>
      </c>
      <c r="Y32" s="1">
        <v>-1</v>
      </c>
      <c r="Z32" s="1">
        <v>1</v>
      </c>
      <c r="AA32" s="1">
        <v>-1</v>
      </c>
      <c r="AB32" s="1">
        <v>-1</v>
      </c>
      <c r="AC32">
        <v>0</v>
      </c>
      <c r="AD32" s="1">
        <v>-1</v>
      </c>
      <c r="AE32" s="4">
        <f t="shared" si="5"/>
        <v>11</v>
      </c>
      <c r="AF32" s="5">
        <f t="shared" si="2"/>
        <v>11</v>
      </c>
      <c r="AG32" s="6">
        <f t="shared" si="3"/>
        <v>4</v>
      </c>
    </row>
    <row r="33" spans="1:33" x14ac:dyDescent="0.35">
      <c r="A33" s="1">
        <v>3</v>
      </c>
      <c r="B33" s="1" t="s">
        <v>32</v>
      </c>
      <c r="C33" s="1">
        <v>7</v>
      </c>
      <c r="D33" s="1">
        <v>12222218</v>
      </c>
      <c r="E33" t="s">
        <v>39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v>1</v>
      </c>
      <c r="L33" s="1">
        <v>-1</v>
      </c>
      <c r="M33" s="1">
        <v>0</v>
      </c>
      <c r="N33" s="1">
        <v>0</v>
      </c>
      <c r="O33" s="1">
        <v>0</v>
      </c>
      <c r="P33" s="1">
        <v>-1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4">
        <f t="shared" si="5"/>
        <v>2</v>
      </c>
      <c r="AF33" s="5">
        <f t="shared" si="2"/>
        <v>2</v>
      </c>
      <c r="AG33" s="6">
        <f t="shared" si="3"/>
        <v>21</v>
      </c>
    </row>
    <row r="34" spans="1:33" x14ac:dyDescent="0.35">
      <c r="A34" s="1">
        <v>3</v>
      </c>
      <c r="B34" s="1" t="s">
        <v>32</v>
      </c>
      <c r="C34" s="1">
        <v>8</v>
      </c>
      <c r="D34" s="1">
        <v>12222091</v>
      </c>
      <c r="E34" t="s">
        <v>40</v>
      </c>
      <c r="F34" s="1">
        <v>1</v>
      </c>
      <c r="G34" s="1">
        <v>1</v>
      </c>
      <c r="H34" s="1">
        <v>-1</v>
      </c>
      <c r="I34" s="1">
        <v>-1</v>
      </c>
      <c r="J34" s="1">
        <v>-1</v>
      </c>
      <c r="K34" s="1">
        <v>1</v>
      </c>
      <c r="L34" s="1">
        <v>-1</v>
      </c>
      <c r="M34" s="1">
        <v>-1</v>
      </c>
      <c r="N34" s="1">
        <v>0</v>
      </c>
      <c r="O34" s="1">
        <v>-1</v>
      </c>
      <c r="P34" s="1">
        <v>0</v>
      </c>
      <c r="Q34" s="1">
        <v>-1</v>
      </c>
      <c r="R34" s="1">
        <v>-1</v>
      </c>
      <c r="S34" s="1">
        <v>0</v>
      </c>
      <c r="T34" s="1">
        <v>-1</v>
      </c>
      <c r="U34" s="1">
        <v>-1</v>
      </c>
      <c r="V34" s="1">
        <v>0</v>
      </c>
      <c r="W34" s="1">
        <v>1</v>
      </c>
      <c r="X34" s="1">
        <v>-1</v>
      </c>
      <c r="Y34" s="1">
        <v>-1</v>
      </c>
      <c r="Z34" s="1">
        <v>-1</v>
      </c>
      <c r="AA34" s="1">
        <v>0</v>
      </c>
      <c r="AB34" s="1">
        <v>0</v>
      </c>
      <c r="AC34" s="1">
        <v>0</v>
      </c>
      <c r="AD34" s="1">
        <v>0</v>
      </c>
      <c r="AE34" s="4">
        <f t="shared" si="5"/>
        <v>4</v>
      </c>
      <c r="AF34" s="5">
        <f t="shared" si="2"/>
        <v>13</v>
      </c>
      <c r="AG34" s="6">
        <f t="shared" si="3"/>
        <v>8</v>
      </c>
    </row>
    <row r="35" spans="1:33" x14ac:dyDescent="0.35">
      <c r="A35" s="1">
        <v>3</v>
      </c>
      <c r="B35" s="1" t="s">
        <v>32</v>
      </c>
      <c r="C35" s="1">
        <v>9</v>
      </c>
      <c r="D35" s="1">
        <v>12230674</v>
      </c>
      <c r="E35" t="s">
        <v>41</v>
      </c>
      <c r="F35" s="1">
        <v>-1</v>
      </c>
      <c r="G35" s="1">
        <v>1</v>
      </c>
      <c r="H35" s="1">
        <v>-1</v>
      </c>
      <c r="I35" s="1">
        <v>-1</v>
      </c>
      <c r="J35" s="1">
        <v>-1</v>
      </c>
      <c r="K35" s="1">
        <v>1</v>
      </c>
      <c r="L35" s="1">
        <v>1</v>
      </c>
      <c r="M35" s="1">
        <v>-1</v>
      </c>
      <c r="N35" s="1">
        <v>-1</v>
      </c>
      <c r="O35" s="1">
        <v>1</v>
      </c>
      <c r="P35" s="1">
        <v>-1</v>
      </c>
      <c r="Q35" s="1">
        <v>-1</v>
      </c>
      <c r="R35" s="1">
        <v>-1</v>
      </c>
      <c r="S35" s="1">
        <v>-1</v>
      </c>
      <c r="T35" s="1">
        <v>-1</v>
      </c>
      <c r="U35" s="1">
        <v>-1</v>
      </c>
      <c r="V35" s="1">
        <v>-1</v>
      </c>
      <c r="W35" s="1">
        <v>-1</v>
      </c>
      <c r="X35" s="1">
        <v>-1</v>
      </c>
      <c r="Y35" s="1">
        <v>-1</v>
      </c>
      <c r="Z35" s="1">
        <v>1</v>
      </c>
      <c r="AA35" s="1">
        <v>-1</v>
      </c>
      <c r="AB35" s="1">
        <v>-1</v>
      </c>
      <c r="AC35">
        <v>0</v>
      </c>
      <c r="AD35" s="1">
        <v>-1</v>
      </c>
      <c r="AE35" s="4">
        <f t="shared" si="5"/>
        <v>5</v>
      </c>
      <c r="AF35" s="5">
        <f t="shared" si="2"/>
        <v>19</v>
      </c>
      <c r="AG35" s="6">
        <f t="shared" si="3"/>
        <v>1</v>
      </c>
    </row>
    <row r="36" spans="1:33" x14ac:dyDescent="0.35">
      <c r="A36" s="1">
        <v>3</v>
      </c>
      <c r="B36" s="1" t="s">
        <v>32</v>
      </c>
      <c r="C36" s="1">
        <v>10</v>
      </c>
      <c r="D36" s="1">
        <v>12232101</v>
      </c>
      <c r="E36" t="s">
        <v>42</v>
      </c>
      <c r="F36" s="1">
        <v>1</v>
      </c>
      <c r="G36" s="1">
        <v>-1</v>
      </c>
      <c r="H36" s="1">
        <v>-1</v>
      </c>
      <c r="I36" s="1">
        <v>-1</v>
      </c>
      <c r="J36" s="1">
        <v>1</v>
      </c>
      <c r="K36" s="1">
        <v>1</v>
      </c>
      <c r="L36" s="1">
        <v>1</v>
      </c>
      <c r="M36" s="1">
        <v>-1</v>
      </c>
      <c r="N36" s="1">
        <v>-1</v>
      </c>
      <c r="O36" s="1">
        <v>-1</v>
      </c>
      <c r="P36" s="1">
        <v>-1</v>
      </c>
      <c r="Q36" s="1">
        <v>-1</v>
      </c>
      <c r="R36" s="1">
        <v>-1</v>
      </c>
      <c r="S36" s="1">
        <v>1</v>
      </c>
      <c r="T36" s="1">
        <v>-1</v>
      </c>
      <c r="U36" s="1">
        <v>1</v>
      </c>
      <c r="V36" s="1">
        <v>1</v>
      </c>
      <c r="W36" s="1">
        <v>1</v>
      </c>
      <c r="X36" s="1">
        <v>-1</v>
      </c>
      <c r="Y36" s="1">
        <v>-1</v>
      </c>
      <c r="Z36" s="1">
        <v>-1</v>
      </c>
      <c r="AA36" s="1">
        <v>-1</v>
      </c>
      <c r="AB36" s="1">
        <v>1</v>
      </c>
      <c r="AC36" s="1">
        <v>0</v>
      </c>
      <c r="AD36" s="1">
        <v>-1</v>
      </c>
      <c r="AE36" s="4">
        <f t="shared" si="5"/>
        <v>9</v>
      </c>
      <c r="AF36" s="5">
        <f t="shared" si="2"/>
        <v>15</v>
      </c>
      <c r="AG36" s="6">
        <f t="shared" si="3"/>
        <v>1</v>
      </c>
    </row>
    <row r="37" spans="1:33" x14ac:dyDescent="0.35">
      <c r="A37" s="1">
        <v>3</v>
      </c>
      <c r="B37" s="1" t="s">
        <v>32</v>
      </c>
      <c r="C37" s="1">
        <v>11</v>
      </c>
      <c r="D37" s="1">
        <v>12211057</v>
      </c>
      <c r="E37" t="s">
        <v>43</v>
      </c>
      <c r="F37" s="1">
        <v>1</v>
      </c>
      <c r="G37" s="1">
        <v>1</v>
      </c>
      <c r="H37" s="1">
        <v>1</v>
      </c>
      <c r="I37" s="1">
        <v>0</v>
      </c>
      <c r="J37" s="1">
        <v>1</v>
      </c>
      <c r="K37" s="1">
        <v>1</v>
      </c>
      <c r="L37" s="1">
        <v>1</v>
      </c>
      <c r="M37" s="1">
        <v>1</v>
      </c>
      <c r="N37" s="1">
        <v>-1</v>
      </c>
      <c r="O37" s="1">
        <v>1</v>
      </c>
      <c r="P37" s="1">
        <v>1</v>
      </c>
      <c r="Q37" s="1">
        <v>-1</v>
      </c>
      <c r="R37" s="1">
        <v>1</v>
      </c>
      <c r="S37" s="1">
        <v>1</v>
      </c>
      <c r="T37" s="1">
        <v>1</v>
      </c>
      <c r="U37" s="1">
        <v>-1</v>
      </c>
      <c r="V37" s="1">
        <v>0</v>
      </c>
      <c r="W37" s="1">
        <v>-1</v>
      </c>
      <c r="X37" s="1">
        <v>0</v>
      </c>
      <c r="Y37" s="1">
        <v>1</v>
      </c>
      <c r="Z37" s="1">
        <v>1</v>
      </c>
      <c r="AA37" s="1">
        <v>0</v>
      </c>
      <c r="AB37" s="1">
        <v>-1</v>
      </c>
      <c r="AC37" s="1">
        <v>0</v>
      </c>
      <c r="AD37" s="1">
        <v>1</v>
      </c>
      <c r="AE37" s="4">
        <f t="shared" si="5"/>
        <v>15</v>
      </c>
      <c r="AF37" s="5">
        <f t="shared" si="2"/>
        <v>5</v>
      </c>
      <c r="AG37" s="6">
        <f t="shared" si="3"/>
        <v>5</v>
      </c>
    </row>
    <row r="38" spans="1:33" x14ac:dyDescent="0.35">
      <c r="A38" s="1">
        <v>3</v>
      </c>
      <c r="B38" s="1" t="s">
        <v>32</v>
      </c>
      <c r="C38" s="1">
        <v>12</v>
      </c>
      <c r="D38" s="1">
        <v>12220308</v>
      </c>
      <c r="E38" t="s">
        <v>44</v>
      </c>
      <c r="F38" s="1">
        <v>1</v>
      </c>
      <c r="G38" s="1">
        <v>1</v>
      </c>
      <c r="H38" s="1">
        <v>-1</v>
      </c>
      <c r="I38" s="1">
        <v>0</v>
      </c>
      <c r="J38" s="1">
        <v>1</v>
      </c>
      <c r="K38" s="1">
        <v>1</v>
      </c>
      <c r="L38" s="1">
        <v>1</v>
      </c>
      <c r="M38" s="1">
        <v>-1</v>
      </c>
      <c r="N38" s="1">
        <v>-1</v>
      </c>
      <c r="O38" s="1">
        <v>2</v>
      </c>
      <c r="P38" s="1">
        <v>0</v>
      </c>
      <c r="Q38" s="1">
        <v>-1</v>
      </c>
      <c r="R38" s="1">
        <v>-1</v>
      </c>
      <c r="S38" s="1">
        <v>-1</v>
      </c>
      <c r="T38" s="1">
        <v>1</v>
      </c>
      <c r="U38" s="1">
        <v>1</v>
      </c>
      <c r="V38" s="1">
        <v>1</v>
      </c>
      <c r="W38" s="1">
        <v>1</v>
      </c>
      <c r="X38" s="1">
        <v>-1</v>
      </c>
      <c r="Y38" s="1">
        <v>-1</v>
      </c>
      <c r="Z38" s="1">
        <v>-1</v>
      </c>
      <c r="AA38" s="1">
        <v>0</v>
      </c>
      <c r="AB38" s="1">
        <v>0</v>
      </c>
      <c r="AC38" s="1">
        <v>0</v>
      </c>
      <c r="AD38" s="1">
        <v>0</v>
      </c>
      <c r="AE38" s="4">
        <f t="shared" si="5"/>
        <v>11</v>
      </c>
      <c r="AF38" s="5">
        <f t="shared" si="2"/>
        <v>9</v>
      </c>
      <c r="AG38" s="6">
        <f t="shared" si="3"/>
        <v>6</v>
      </c>
    </row>
    <row r="39" spans="1:33" x14ac:dyDescent="0.35">
      <c r="A39" s="1">
        <v>3</v>
      </c>
      <c r="B39" s="1" t="s">
        <v>32</v>
      </c>
      <c r="C39" s="1">
        <v>13</v>
      </c>
      <c r="D39" s="1">
        <v>12220472</v>
      </c>
      <c r="E39" t="s">
        <v>45</v>
      </c>
      <c r="F39" s="1">
        <v>-1</v>
      </c>
      <c r="G39" s="1">
        <v>1</v>
      </c>
      <c r="H39" s="1">
        <v>-1</v>
      </c>
      <c r="I39" s="1">
        <v>-1</v>
      </c>
      <c r="J39" s="1">
        <v>1</v>
      </c>
      <c r="K39" s="1">
        <v>1</v>
      </c>
      <c r="L39" s="1">
        <v>-1</v>
      </c>
      <c r="M39" s="1">
        <v>-1</v>
      </c>
      <c r="N39" s="1">
        <v>0</v>
      </c>
      <c r="O39" s="1">
        <v>-1</v>
      </c>
      <c r="P39" s="1">
        <v>0</v>
      </c>
      <c r="Q39" s="1">
        <v>-1</v>
      </c>
      <c r="R39" s="1">
        <v>1</v>
      </c>
      <c r="S39" s="1">
        <v>-1</v>
      </c>
      <c r="T39" s="1">
        <v>-1</v>
      </c>
      <c r="U39" s="1">
        <v>1</v>
      </c>
      <c r="V39" s="1">
        <v>-1</v>
      </c>
      <c r="W39" s="1">
        <v>1</v>
      </c>
      <c r="X39" s="1">
        <v>-1</v>
      </c>
      <c r="Y39" s="1">
        <v>-1</v>
      </c>
      <c r="Z39" s="1">
        <v>1</v>
      </c>
      <c r="AA39" s="1">
        <v>-1</v>
      </c>
      <c r="AB39" s="1">
        <v>-1</v>
      </c>
      <c r="AC39" s="1">
        <v>0</v>
      </c>
      <c r="AD39" s="1">
        <v>-1</v>
      </c>
      <c r="AE39" s="4">
        <f t="shared" si="5"/>
        <v>7</v>
      </c>
      <c r="AF39" s="5">
        <f t="shared" si="2"/>
        <v>15</v>
      </c>
      <c r="AG39" s="6">
        <f t="shared" si="3"/>
        <v>3</v>
      </c>
    </row>
    <row r="40" spans="1:33" x14ac:dyDescent="0.35">
      <c r="A40" s="1">
        <v>3</v>
      </c>
      <c r="B40" s="1" t="s">
        <v>32</v>
      </c>
      <c r="C40" s="1">
        <v>14</v>
      </c>
      <c r="D40" s="1">
        <v>12231783</v>
      </c>
      <c r="E40" t="s">
        <v>46</v>
      </c>
      <c r="F40" s="1">
        <v>-1</v>
      </c>
      <c r="G40" s="1">
        <v>-1</v>
      </c>
      <c r="H40" s="1">
        <v>0</v>
      </c>
      <c r="I40" s="1">
        <v>-1</v>
      </c>
      <c r="J40" s="1">
        <v>0</v>
      </c>
      <c r="K40" s="1">
        <v>-1</v>
      </c>
      <c r="L40" s="1">
        <v>-1</v>
      </c>
      <c r="M40" s="1">
        <v>-1</v>
      </c>
      <c r="N40" s="1">
        <v>-1</v>
      </c>
      <c r="O40" s="1">
        <v>-1</v>
      </c>
      <c r="P40" s="1">
        <v>0</v>
      </c>
      <c r="Q40" s="1">
        <v>0</v>
      </c>
      <c r="R40" s="1">
        <v>-1</v>
      </c>
      <c r="S40" s="1">
        <v>0</v>
      </c>
      <c r="T40" s="1">
        <v>-1</v>
      </c>
      <c r="U40" s="1">
        <v>0</v>
      </c>
      <c r="V40" s="1">
        <v>-1</v>
      </c>
      <c r="W40" s="1">
        <v>-1</v>
      </c>
      <c r="X40" s="1">
        <v>-1</v>
      </c>
      <c r="Y40" s="1">
        <v>-1</v>
      </c>
      <c r="Z40" s="1">
        <v>-1</v>
      </c>
      <c r="AA40" s="1">
        <v>-1</v>
      </c>
      <c r="AB40" s="1">
        <v>0</v>
      </c>
      <c r="AC40" s="1">
        <v>-1</v>
      </c>
      <c r="AD40" s="1">
        <v>-1</v>
      </c>
      <c r="AE40" s="4">
        <f t="shared" si="5"/>
        <v>0</v>
      </c>
      <c r="AF40" s="5">
        <f t="shared" si="2"/>
        <v>18</v>
      </c>
      <c r="AG40" s="6">
        <f t="shared" si="3"/>
        <v>7</v>
      </c>
    </row>
    <row r="41" spans="1:33" x14ac:dyDescent="0.35">
      <c r="A41" s="1">
        <v>3</v>
      </c>
      <c r="B41" s="1" t="s">
        <v>32</v>
      </c>
      <c r="C41" s="1">
        <v>15</v>
      </c>
      <c r="D41" s="1">
        <v>12220322</v>
      </c>
      <c r="E41" t="s">
        <v>47</v>
      </c>
      <c r="F41" s="1">
        <v>1</v>
      </c>
      <c r="G41" s="1">
        <v>1</v>
      </c>
      <c r="H41" s="1">
        <v>1</v>
      </c>
      <c r="I41" s="1">
        <v>-1</v>
      </c>
      <c r="J41" s="1">
        <v>1</v>
      </c>
      <c r="K41" s="1">
        <v>-1</v>
      </c>
      <c r="L41" s="1">
        <v>1</v>
      </c>
      <c r="M41" s="1">
        <v>-1</v>
      </c>
      <c r="N41" s="1">
        <v>-1</v>
      </c>
      <c r="O41" s="1">
        <v>2</v>
      </c>
      <c r="P41" s="1">
        <v>-1</v>
      </c>
      <c r="Q41" s="1">
        <v>-1</v>
      </c>
      <c r="R41" s="1">
        <v>-1</v>
      </c>
      <c r="S41" s="1">
        <v>1</v>
      </c>
      <c r="T41" s="1">
        <v>-1</v>
      </c>
      <c r="U41" s="1">
        <v>1</v>
      </c>
      <c r="V41" s="1">
        <v>1</v>
      </c>
      <c r="W41" s="1">
        <v>-1</v>
      </c>
      <c r="X41" s="1">
        <v>1</v>
      </c>
      <c r="Y41" s="1">
        <v>-1</v>
      </c>
      <c r="Z41" s="1">
        <v>-1</v>
      </c>
      <c r="AA41" s="1">
        <v>-1</v>
      </c>
      <c r="AB41" s="1">
        <v>-1</v>
      </c>
      <c r="AC41" s="1">
        <v>0</v>
      </c>
      <c r="AD41" s="1">
        <v>-1</v>
      </c>
      <c r="AE41" s="4">
        <f t="shared" si="5"/>
        <v>11</v>
      </c>
      <c r="AF41" s="5">
        <f t="shared" si="2"/>
        <v>14</v>
      </c>
      <c r="AG41" s="6">
        <f t="shared" si="3"/>
        <v>1</v>
      </c>
    </row>
    <row r="42" spans="1:33" x14ac:dyDescent="0.35">
      <c r="A42" s="1">
        <v>3</v>
      </c>
      <c r="B42" s="1" t="s">
        <v>32</v>
      </c>
      <c r="C42" s="1">
        <v>16</v>
      </c>
      <c r="D42" s="1">
        <v>12240353</v>
      </c>
      <c r="E42" t="s">
        <v>48</v>
      </c>
      <c r="F42" s="1">
        <v>1</v>
      </c>
      <c r="G42" s="1">
        <v>-1</v>
      </c>
      <c r="H42" s="1">
        <v>1</v>
      </c>
      <c r="I42" s="1">
        <v>-1</v>
      </c>
      <c r="J42" s="1">
        <v>-1</v>
      </c>
      <c r="K42" s="1">
        <v>1</v>
      </c>
      <c r="L42" s="1">
        <v>1</v>
      </c>
      <c r="M42" s="1">
        <v>1</v>
      </c>
      <c r="N42" s="1">
        <v>1</v>
      </c>
      <c r="O42" s="1">
        <v>2</v>
      </c>
      <c r="P42" s="1">
        <v>0</v>
      </c>
      <c r="Q42" s="1">
        <v>-1</v>
      </c>
      <c r="R42" s="1">
        <v>-1</v>
      </c>
      <c r="S42" s="1">
        <v>-1</v>
      </c>
      <c r="T42" s="1">
        <v>-1</v>
      </c>
      <c r="U42" s="1">
        <v>2</v>
      </c>
      <c r="V42" s="1">
        <v>-1</v>
      </c>
      <c r="W42" s="1">
        <v>1</v>
      </c>
      <c r="X42" s="1">
        <v>-1</v>
      </c>
      <c r="Y42" s="1">
        <v>-1</v>
      </c>
      <c r="Z42" s="1">
        <v>1</v>
      </c>
      <c r="AA42" s="1">
        <v>-1</v>
      </c>
      <c r="AB42" s="1">
        <v>-1</v>
      </c>
      <c r="AC42" s="1">
        <v>-1</v>
      </c>
      <c r="AD42" s="1">
        <v>-1</v>
      </c>
      <c r="AE42" s="4">
        <f t="shared" si="5"/>
        <v>12</v>
      </c>
      <c r="AF42" s="5">
        <f t="shared" si="2"/>
        <v>14</v>
      </c>
      <c r="AG42" s="6">
        <f t="shared" si="3"/>
        <v>1</v>
      </c>
    </row>
    <row r="43" spans="1:33" x14ac:dyDescent="0.35">
      <c r="A43" s="1">
        <v>3</v>
      </c>
      <c r="B43" s="1" t="s">
        <v>32</v>
      </c>
      <c r="C43" s="1">
        <v>17</v>
      </c>
      <c r="D43" s="1">
        <v>12221051</v>
      </c>
      <c r="E43" t="s">
        <v>49</v>
      </c>
      <c r="F43" s="1">
        <v>-1</v>
      </c>
      <c r="G43" s="1">
        <v>-1</v>
      </c>
      <c r="H43" s="1">
        <v>-1</v>
      </c>
      <c r="I43" s="1">
        <v>-1</v>
      </c>
      <c r="J43" s="1">
        <v>1</v>
      </c>
      <c r="K43" s="1">
        <v>-1</v>
      </c>
      <c r="L43" s="1">
        <v>1</v>
      </c>
      <c r="M43" s="1">
        <v>-1</v>
      </c>
      <c r="N43" s="1">
        <v>0</v>
      </c>
      <c r="O43" s="1">
        <v>1</v>
      </c>
      <c r="P43" s="1">
        <v>0</v>
      </c>
      <c r="Q43" s="1">
        <v>-1</v>
      </c>
      <c r="R43" s="1">
        <v>-1</v>
      </c>
      <c r="S43" s="1">
        <v>0</v>
      </c>
      <c r="T43" s="1">
        <v>-1</v>
      </c>
      <c r="U43" s="1">
        <v>-1</v>
      </c>
      <c r="V43" s="1">
        <v>-1</v>
      </c>
      <c r="W43" s="1">
        <v>1</v>
      </c>
      <c r="X43" s="1">
        <v>-1</v>
      </c>
      <c r="Y43" s="1">
        <v>-1</v>
      </c>
      <c r="Z43" s="1">
        <v>-1</v>
      </c>
      <c r="AA43" s="1">
        <v>0</v>
      </c>
      <c r="AB43" s="1">
        <v>0</v>
      </c>
      <c r="AC43" s="1">
        <v>-1</v>
      </c>
      <c r="AD43" s="1">
        <v>-1</v>
      </c>
      <c r="AE43" s="4">
        <f t="shared" si="5"/>
        <v>4</v>
      </c>
      <c r="AF43" s="5">
        <f t="shared" si="2"/>
        <v>16</v>
      </c>
      <c r="AG43" s="6">
        <f t="shared" si="3"/>
        <v>5</v>
      </c>
    </row>
    <row r="44" spans="1:33" x14ac:dyDescent="0.35">
      <c r="A44" s="1">
        <v>3</v>
      </c>
      <c r="B44" s="1" t="s">
        <v>32</v>
      </c>
      <c r="C44" s="1">
        <v>18</v>
      </c>
      <c r="D44" s="1">
        <v>12210217</v>
      </c>
      <c r="E44" t="s">
        <v>50</v>
      </c>
      <c r="F44" s="1">
        <v>1</v>
      </c>
      <c r="G44" s="1">
        <v>1</v>
      </c>
      <c r="H44" s="1">
        <v>-1</v>
      </c>
      <c r="I44" s="1">
        <v>-1</v>
      </c>
      <c r="J44" s="1">
        <v>1</v>
      </c>
      <c r="K44" s="1">
        <v>1</v>
      </c>
      <c r="L44" s="1">
        <v>-1</v>
      </c>
      <c r="M44" s="1">
        <v>-1</v>
      </c>
      <c r="N44" s="1">
        <v>-1</v>
      </c>
      <c r="O44" s="1">
        <v>-1</v>
      </c>
      <c r="P44" s="1">
        <v>0</v>
      </c>
      <c r="Q44" s="1">
        <v>-1</v>
      </c>
      <c r="R44" s="1">
        <v>-1</v>
      </c>
      <c r="S44" s="1">
        <v>-1</v>
      </c>
      <c r="T44" s="1">
        <v>-1</v>
      </c>
      <c r="U44" s="1">
        <v>1</v>
      </c>
      <c r="V44" s="1">
        <v>-1</v>
      </c>
      <c r="W44" s="1">
        <v>1</v>
      </c>
      <c r="X44" s="1">
        <v>-1</v>
      </c>
      <c r="Y44" s="1">
        <v>-1</v>
      </c>
      <c r="Z44" s="1">
        <v>-1</v>
      </c>
      <c r="AA44" s="1">
        <v>-1</v>
      </c>
      <c r="AB44" s="1">
        <v>-1</v>
      </c>
      <c r="AC44" s="1">
        <v>-1</v>
      </c>
      <c r="AD44" s="1">
        <v>-1</v>
      </c>
      <c r="AE44" s="4">
        <f t="shared" si="5"/>
        <v>6</v>
      </c>
      <c r="AF44" s="5">
        <f t="shared" si="2"/>
        <v>18</v>
      </c>
      <c r="AG44" s="6">
        <f t="shared" si="3"/>
        <v>1</v>
      </c>
    </row>
    <row r="45" spans="1:33" x14ac:dyDescent="0.35">
      <c r="A45" s="1">
        <v>3</v>
      </c>
      <c r="B45" s="1" t="s">
        <v>32</v>
      </c>
      <c r="C45" s="1">
        <v>19</v>
      </c>
      <c r="D45" s="1">
        <v>12211910</v>
      </c>
      <c r="E45" t="s">
        <v>51</v>
      </c>
    </row>
    <row r="46" spans="1:33" x14ac:dyDescent="0.35">
      <c r="A46" s="1">
        <v>3</v>
      </c>
      <c r="B46" s="1" t="s">
        <v>32</v>
      </c>
      <c r="C46" s="1">
        <v>20</v>
      </c>
      <c r="D46" s="1">
        <v>12233821</v>
      </c>
      <c r="E46" t="s">
        <v>52</v>
      </c>
      <c r="F46" s="1">
        <v>0</v>
      </c>
      <c r="G46" s="1">
        <v>1</v>
      </c>
      <c r="H46" s="1">
        <v>-1</v>
      </c>
      <c r="I46" s="1">
        <v>0</v>
      </c>
      <c r="J46" s="1">
        <v>1</v>
      </c>
      <c r="K46" s="1">
        <v>1</v>
      </c>
      <c r="L46" s="1">
        <v>1</v>
      </c>
      <c r="M46" s="1">
        <v>0</v>
      </c>
      <c r="N46" s="1">
        <v>-1</v>
      </c>
      <c r="O46" s="1">
        <v>1</v>
      </c>
      <c r="P46" s="1">
        <v>0</v>
      </c>
      <c r="Q46" s="1">
        <v>2</v>
      </c>
      <c r="R46" s="1">
        <v>-1</v>
      </c>
      <c r="S46" s="1">
        <v>1</v>
      </c>
      <c r="T46" s="1">
        <v>-1</v>
      </c>
      <c r="U46" s="1">
        <v>1</v>
      </c>
      <c r="V46" s="1">
        <v>0</v>
      </c>
      <c r="W46" s="1">
        <v>-1</v>
      </c>
      <c r="X46" s="1">
        <v>-1</v>
      </c>
      <c r="Y46" s="1">
        <v>-1</v>
      </c>
      <c r="Z46" s="1">
        <v>-1</v>
      </c>
      <c r="AA46" s="1">
        <v>-1</v>
      </c>
      <c r="AB46" s="1">
        <v>0</v>
      </c>
      <c r="AC46" s="1">
        <v>0</v>
      </c>
      <c r="AD46" s="1">
        <v>-1</v>
      </c>
      <c r="AE46" s="4">
        <f t="shared" si="5"/>
        <v>9</v>
      </c>
      <c r="AF46" s="5">
        <f t="shared" si="2"/>
        <v>10</v>
      </c>
      <c r="AG46" s="6">
        <f t="shared" si="3"/>
        <v>7</v>
      </c>
    </row>
    <row r="47" spans="1:33" x14ac:dyDescent="0.35">
      <c r="A47" s="1">
        <v>3</v>
      </c>
      <c r="B47" s="1" t="s">
        <v>32</v>
      </c>
      <c r="C47" s="1">
        <v>21</v>
      </c>
      <c r="D47" s="1">
        <v>12222160</v>
      </c>
      <c r="E47" t="s">
        <v>53</v>
      </c>
      <c r="F47" s="1">
        <v>1</v>
      </c>
      <c r="G47" s="1">
        <v>1</v>
      </c>
      <c r="H47" s="1">
        <v>1</v>
      </c>
      <c r="I47" s="1">
        <v>-1</v>
      </c>
      <c r="J47" s="1">
        <v>1</v>
      </c>
      <c r="K47" s="1">
        <v>1</v>
      </c>
      <c r="L47" s="1">
        <v>-1</v>
      </c>
      <c r="M47" s="1">
        <v>-1</v>
      </c>
      <c r="N47" s="1">
        <v>-1</v>
      </c>
      <c r="O47" s="1">
        <v>-1</v>
      </c>
      <c r="P47" s="1">
        <v>-1</v>
      </c>
      <c r="Q47" s="1">
        <v>-1</v>
      </c>
      <c r="R47" s="1">
        <v>1</v>
      </c>
      <c r="S47" s="1">
        <v>1</v>
      </c>
      <c r="T47" s="1">
        <v>-1</v>
      </c>
      <c r="U47" s="1">
        <v>1</v>
      </c>
      <c r="V47" s="1">
        <v>-1</v>
      </c>
      <c r="W47" s="1">
        <v>1</v>
      </c>
      <c r="X47" s="1">
        <v>-1</v>
      </c>
      <c r="Y47" s="1">
        <v>-1</v>
      </c>
      <c r="Z47" s="1">
        <v>-1</v>
      </c>
      <c r="AA47" s="1">
        <v>-1</v>
      </c>
      <c r="AB47" s="1">
        <v>0</v>
      </c>
      <c r="AC47" s="1">
        <v>-1</v>
      </c>
      <c r="AD47" s="1">
        <v>0</v>
      </c>
      <c r="AE47" s="4">
        <f t="shared" si="5"/>
        <v>9</v>
      </c>
      <c r="AF47" s="5">
        <f t="shared" si="2"/>
        <v>14</v>
      </c>
      <c r="AG47" s="6">
        <f t="shared" si="3"/>
        <v>2</v>
      </c>
    </row>
    <row r="48" spans="1:33" x14ac:dyDescent="0.35">
      <c r="A48" s="1">
        <v>3</v>
      </c>
      <c r="B48" s="1" t="s">
        <v>32</v>
      </c>
      <c r="C48" s="1">
        <v>22</v>
      </c>
      <c r="D48" s="1">
        <v>12240156</v>
      </c>
      <c r="E48" t="s">
        <v>54</v>
      </c>
      <c r="F48" s="1">
        <v>0</v>
      </c>
      <c r="G48" s="1">
        <v>0</v>
      </c>
      <c r="H48" s="1">
        <v>0</v>
      </c>
      <c r="I48" s="1">
        <v>-1</v>
      </c>
      <c r="J48" s="1">
        <v>1</v>
      </c>
      <c r="K48" s="1">
        <v>-1</v>
      </c>
      <c r="L48" s="1">
        <v>-1</v>
      </c>
      <c r="M48" s="1">
        <v>-1</v>
      </c>
      <c r="N48" s="1">
        <v>-1</v>
      </c>
      <c r="O48" s="1">
        <v>1</v>
      </c>
      <c r="P48" s="1">
        <v>0</v>
      </c>
      <c r="Q48" s="1">
        <v>-1</v>
      </c>
      <c r="R48" s="1">
        <v>-1</v>
      </c>
      <c r="S48" s="1">
        <v>0</v>
      </c>
      <c r="T48" s="1">
        <v>-1</v>
      </c>
      <c r="U48" s="1">
        <v>0</v>
      </c>
      <c r="V48" s="1">
        <v>-1</v>
      </c>
      <c r="W48" s="1">
        <v>-1</v>
      </c>
      <c r="X48" s="1">
        <v>-1</v>
      </c>
      <c r="Y48" s="1">
        <v>-1</v>
      </c>
      <c r="Z48" s="1">
        <v>-1</v>
      </c>
      <c r="AA48">
        <v>-1</v>
      </c>
      <c r="AB48" s="1">
        <v>-1</v>
      </c>
      <c r="AC48" s="1">
        <v>-1</v>
      </c>
      <c r="AD48" s="1">
        <v>0</v>
      </c>
      <c r="AE48" s="4">
        <f t="shared" si="5"/>
        <v>2</v>
      </c>
      <c r="AF48" s="5">
        <f t="shared" si="2"/>
        <v>16</v>
      </c>
      <c r="AG48" s="6">
        <f t="shared" si="3"/>
        <v>7</v>
      </c>
    </row>
    <row r="49" spans="1:33" x14ac:dyDescent="0.35">
      <c r="A49" s="1">
        <v>3</v>
      </c>
      <c r="B49" s="1" t="s">
        <v>32</v>
      </c>
      <c r="C49" s="1">
        <v>23</v>
      </c>
      <c r="D49" s="1">
        <v>12210976</v>
      </c>
      <c r="E49" t="s">
        <v>55</v>
      </c>
      <c r="F49" s="1">
        <v>1</v>
      </c>
      <c r="G49" s="1">
        <v>1</v>
      </c>
      <c r="H49" s="1">
        <v>-1</v>
      </c>
      <c r="I49" s="1">
        <v>-1</v>
      </c>
      <c r="J49" s="1">
        <v>1</v>
      </c>
      <c r="K49" s="1">
        <v>1</v>
      </c>
      <c r="L49" s="1">
        <v>-1</v>
      </c>
      <c r="M49" s="1">
        <v>-1</v>
      </c>
      <c r="N49" s="1">
        <v>-1</v>
      </c>
      <c r="O49" s="1">
        <v>1</v>
      </c>
      <c r="P49" s="1">
        <v>-1</v>
      </c>
      <c r="Q49" s="1">
        <v>-1</v>
      </c>
      <c r="R49" s="1">
        <v>-1</v>
      </c>
      <c r="S49" s="1">
        <v>-1</v>
      </c>
      <c r="T49" s="1">
        <v>-1</v>
      </c>
      <c r="U49" s="1">
        <v>1</v>
      </c>
      <c r="V49" s="1">
        <v>-1</v>
      </c>
      <c r="W49" s="1">
        <v>-1</v>
      </c>
      <c r="X49" s="1">
        <v>-1</v>
      </c>
      <c r="Y49" s="1">
        <v>-1</v>
      </c>
      <c r="Z49" s="1">
        <v>-1</v>
      </c>
      <c r="AA49" s="1">
        <v>-1</v>
      </c>
      <c r="AB49" s="1">
        <v>-1</v>
      </c>
      <c r="AC49" s="1">
        <v>-1</v>
      </c>
      <c r="AD49" s="1">
        <v>-1</v>
      </c>
      <c r="AE49" s="4">
        <f t="shared" si="5"/>
        <v>6</v>
      </c>
      <c r="AF49" s="5">
        <f t="shared" si="2"/>
        <v>19</v>
      </c>
      <c r="AG49" s="6">
        <f t="shared" si="3"/>
        <v>0</v>
      </c>
    </row>
    <row r="50" spans="1:33" x14ac:dyDescent="0.35">
      <c r="A50" s="1">
        <v>3</v>
      </c>
      <c r="B50" s="1" t="s">
        <v>32</v>
      </c>
      <c r="C50" s="1">
        <v>24</v>
      </c>
      <c r="D50" s="1">
        <v>12222003</v>
      </c>
      <c r="E50" t="s">
        <v>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FFA0-FF27-48C3-BDF8-D3F49A5DC757}">
  <dimension ref="A1:AI50"/>
  <sheetViews>
    <sheetView tabSelected="1" workbookViewId="0">
      <pane ySplit="1" topLeftCell="A17" activePane="bottomLeft" state="frozen"/>
      <selection pane="bottomLeft" activeCell="AG26" sqref="AG26"/>
    </sheetView>
  </sheetViews>
  <sheetFormatPr defaultRowHeight="14.5" x14ac:dyDescent="0.35"/>
  <cols>
    <col min="1" max="1" width="5.6328125" bestFit="1" customWidth="1"/>
    <col min="2" max="2" width="6.08984375" bestFit="1" customWidth="1"/>
    <col min="3" max="3" width="3.1796875" bestFit="1" customWidth="1"/>
    <col min="4" max="4" width="12.90625" bestFit="1" customWidth="1"/>
    <col min="5" max="5" width="34.26953125" bestFit="1" customWidth="1"/>
    <col min="6" max="14" width="2.453125" bestFit="1" customWidth="1"/>
    <col min="15" max="15" width="3.81640625" bestFit="1" customWidth="1"/>
    <col min="16" max="16" width="3.90625" bestFit="1" customWidth="1"/>
    <col min="17" max="22" width="2.81640625" bestFit="1" customWidth="1"/>
    <col min="23" max="23" width="3.81640625" bestFit="1" customWidth="1"/>
    <col min="24" max="24" width="3.90625" bestFit="1" customWidth="1"/>
    <col min="25" max="25" width="3.81640625" bestFit="1" customWidth="1"/>
    <col min="26" max="26" width="3.90625" bestFit="1" customWidth="1"/>
    <col min="27" max="28" width="2.81640625" bestFit="1" customWidth="1"/>
    <col min="29" max="29" width="3.81640625" bestFit="1" customWidth="1"/>
    <col min="30" max="30" width="3.90625" bestFit="1" customWidth="1"/>
    <col min="31" max="32" width="2.81640625" bestFit="1" customWidth="1"/>
    <col min="33" max="35" width="5.36328125" customWidth="1"/>
  </cols>
  <sheetData>
    <row r="1" spans="1:35" x14ac:dyDescent="0.35">
      <c r="A1" s="2" t="s">
        <v>0</v>
      </c>
      <c r="B1" s="2" t="s">
        <v>28</v>
      </c>
      <c r="C1" s="2" t="s">
        <v>1</v>
      </c>
      <c r="D1" s="2" t="s">
        <v>2</v>
      </c>
      <c r="E1" s="3" t="s">
        <v>3</v>
      </c>
      <c r="F1" s="3">
        <v>1</v>
      </c>
      <c r="G1" s="3">
        <v>2</v>
      </c>
      <c r="H1" s="3">
        <v>3</v>
      </c>
      <c r="I1" s="3">
        <v>4</v>
      </c>
      <c r="J1" s="3">
        <v>5</v>
      </c>
      <c r="K1" s="3">
        <v>6</v>
      </c>
      <c r="L1" s="3">
        <v>7</v>
      </c>
      <c r="M1" s="3">
        <v>8</v>
      </c>
      <c r="N1" s="3">
        <v>9</v>
      </c>
      <c r="O1" s="3" t="s">
        <v>63</v>
      </c>
      <c r="P1" s="3" t="s">
        <v>64</v>
      </c>
      <c r="Q1" s="3">
        <v>11</v>
      </c>
      <c r="R1" s="3">
        <v>12</v>
      </c>
      <c r="S1" s="3">
        <v>13</v>
      </c>
      <c r="T1" s="3">
        <v>14</v>
      </c>
      <c r="U1" s="3">
        <v>15</v>
      </c>
      <c r="V1" s="3">
        <v>16</v>
      </c>
      <c r="W1" s="3" t="s">
        <v>65</v>
      </c>
      <c r="X1" s="3" t="s">
        <v>66</v>
      </c>
      <c r="Y1" s="3" t="s">
        <v>67</v>
      </c>
      <c r="Z1" s="3" t="s">
        <v>68</v>
      </c>
      <c r="AA1" s="3">
        <v>19</v>
      </c>
      <c r="AB1" s="3">
        <v>20</v>
      </c>
      <c r="AC1" s="3" t="s">
        <v>69</v>
      </c>
      <c r="AD1" s="3" t="s">
        <v>70</v>
      </c>
      <c r="AE1" s="3">
        <v>22</v>
      </c>
      <c r="AF1" s="3">
        <v>23</v>
      </c>
      <c r="AG1" s="12" t="s">
        <v>57</v>
      </c>
      <c r="AH1" s="13" t="s">
        <v>58</v>
      </c>
      <c r="AI1" s="14" t="s">
        <v>59</v>
      </c>
    </row>
    <row r="2" spans="1:35" x14ac:dyDescent="0.35">
      <c r="A2" s="7">
        <v>3</v>
      </c>
      <c r="B2" s="7" t="s">
        <v>61</v>
      </c>
      <c r="C2" s="7"/>
      <c r="D2" s="7" t="s">
        <v>60</v>
      </c>
      <c r="E2" s="8" t="s">
        <v>62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>
        <f>AVERAGE(AG3:AG50)</f>
        <v>3.2826086956521738</v>
      </c>
      <c r="AH2" s="10">
        <f t="shared" ref="AH2:AI2" si="0">AVERAGE(AH3:AH50)</f>
        <v>7.1086956521739131</v>
      </c>
      <c r="AI2" s="11">
        <f t="shared" si="0"/>
        <v>3.8043478260869565</v>
      </c>
    </row>
    <row r="3" spans="1:35" x14ac:dyDescent="0.35">
      <c r="A3" s="1">
        <v>3</v>
      </c>
      <c r="B3" s="1" t="s">
        <v>29</v>
      </c>
      <c r="C3" s="1">
        <v>1</v>
      </c>
      <c r="D3" s="1" t="str">
        <f>"000012230982"</f>
        <v>000012230982</v>
      </c>
      <c r="E3" t="s">
        <v>4</v>
      </c>
      <c r="F3">
        <v>0</v>
      </c>
      <c r="G3">
        <v>-1</v>
      </c>
      <c r="H3">
        <v>-1</v>
      </c>
      <c r="I3">
        <v>0</v>
      </c>
      <c r="J3">
        <v>-1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0</v>
      </c>
      <c r="R3">
        <v>1</v>
      </c>
      <c r="S3">
        <v>0</v>
      </c>
      <c r="T3">
        <v>-1</v>
      </c>
      <c r="U3">
        <v>0</v>
      </c>
      <c r="V3">
        <v>1</v>
      </c>
      <c r="W3">
        <v>-1</v>
      </c>
      <c r="X3">
        <v>-1</v>
      </c>
      <c r="Y3">
        <v>1</v>
      </c>
      <c r="Z3">
        <v>-1</v>
      </c>
      <c r="AA3">
        <v>-1</v>
      </c>
      <c r="AB3">
        <v>-1</v>
      </c>
      <c r="AC3">
        <v>-1</v>
      </c>
      <c r="AD3">
        <v>0</v>
      </c>
      <c r="AE3">
        <v>0</v>
      </c>
      <c r="AF3">
        <v>0</v>
      </c>
      <c r="AG3" s="4">
        <f>COUNTIF(F3:AF3,1) + COUNTIF(F3:AF3,2)*2</f>
        <v>4</v>
      </c>
      <c r="AH3" s="5">
        <f>COUNTIF(F3:AF3,-1)</f>
        <v>15</v>
      </c>
      <c r="AI3" s="6">
        <f>COUNTIF(F3:AF3,0)</f>
        <v>8</v>
      </c>
    </row>
    <row r="4" spans="1:35" x14ac:dyDescent="0.35">
      <c r="A4" s="1">
        <v>3</v>
      </c>
      <c r="B4" s="1" t="s">
        <v>29</v>
      </c>
      <c r="C4" s="1">
        <v>2</v>
      </c>
      <c r="D4" s="1" t="str">
        <f>"000012230341"</f>
        <v>000012230341</v>
      </c>
      <c r="E4" t="s">
        <v>5</v>
      </c>
      <c r="F4">
        <v>-1</v>
      </c>
      <c r="G4">
        <v>-1</v>
      </c>
      <c r="H4">
        <v>-1</v>
      </c>
      <c r="I4">
        <v>1</v>
      </c>
      <c r="J4">
        <v>1</v>
      </c>
      <c r="K4">
        <v>1</v>
      </c>
      <c r="L4">
        <v>1</v>
      </c>
      <c r="M4">
        <v>-1</v>
      </c>
      <c r="N4">
        <v>1</v>
      </c>
      <c r="O4">
        <v>-1</v>
      </c>
      <c r="P4">
        <v>-1</v>
      </c>
      <c r="Q4">
        <v>-1</v>
      </c>
      <c r="R4">
        <v>1</v>
      </c>
      <c r="S4">
        <v>-1</v>
      </c>
      <c r="T4">
        <v>1</v>
      </c>
      <c r="U4">
        <v>-1</v>
      </c>
      <c r="V4">
        <v>-1</v>
      </c>
      <c r="W4">
        <v>-1</v>
      </c>
      <c r="X4">
        <v>-1</v>
      </c>
      <c r="Y4">
        <v>1</v>
      </c>
      <c r="Z4">
        <v>-1</v>
      </c>
      <c r="AA4">
        <v>-1</v>
      </c>
      <c r="AB4">
        <v>1</v>
      </c>
      <c r="AC4">
        <v>-1</v>
      </c>
      <c r="AD4">
        <v>0</v>
      </c>
      <c r="AE4">
        <v>-1</v>
      </c>
      <c r="AF4">
        <v>-1</v>
      </c>
      <c r="AG4" s="4">
        <f>COUNTIF(F4:AF4,1) + COUNTIF(F4:AF4,2)*2</f>
        <v>9</v>
      </c>
      <c r="AH4" s="5">
        <f>COUNTIF(F4:AF4,-1)</f>
        <v>17</v>
      </c>
      <c r="AI4" s="6">
        <f>COUNTIF(F4:AF4,0)</f>
        <v>1</v>
      </c>
    </row>
    <row r="5" spans="1:35" x14ac:dyDescent="0.35">
      <c r="A5" s="1">
        <v>3</v>
      </c>
      <c r="B5" s="1" t="s">
        <v>29</v>
      </c>
      <c r="C5" s="1">
        <v>3</v>
      </c>
      <c r="D5" s="1" t="str">
        <f>"000012210098"</f>
        <v>000012210098</v>
      </c>
      <c r="E5" t="s">
        <v>6</v>
      </c>
      <c r="F5">
        <v>0</v>
      </c>
      <c r="G5">
        <v>-1</v>
      </c>
      <c r="H5">
        <v>-1</v>
      </c>
      <c r="I5">
        <v>1</v>
      </c>
      <c r="J5">
        <v>-1</v>
      </c>
      <c r="K5">
        <v>-1</v>
      </c>
      <c r="L5">
        <v>-1</v>
      </c>
      <c r="M5">
        <v>-1</v>
      </c>
      <c r="N5">
        <v>1</v>
      </c>
      <c r="O5">
        <v>-1</v>
      </c>
      <c r="P5">
        <v>-1</v>
      </c>
      <c r="Q5">
        <v>-1</v>
      </c>
      <c r="R5">
        <v>0</v>
      </c>
      <c r="S5">
        <v>-1</v>
      </c>
      <c r="T5">
        <v>1</v>
      </c>
      <c r="U5">
        <v>-1</v>
      </c>
      <c r="V5">
        <v>0</v>
      </c>
      <c r="W5">
        <v>0</v>
      </c>
      <c r="X5">
        <v>0</v>
      </c>
      <c r="Y5">
        <v>-1</v>
      </c>
      <c r="Z5">
        <v>0</v>
      </c>
      <c r="AA5">
        <v>0</v>
      </c>
      <c r="AB5">
        <v>1</v>
      </c>
      <c r="AC5">
        <v>-1</v>
      </c>
      <c r="AD5">
        <v>0</v>
      </c>
      <c r="AE5">
        <v>-1</v>
      </c>
      <c r="AF5">
        <v>1</v>
      </c>
      <c r="AG5" s="4">
        <f>COUNTIF(F5:AF5,1) + COUNTIF(F5:AF5,2)*2</f>
        <v>5</v>
      </c>
      <c r="AH5" s="5">
        <f>COUNTIF(F5:AF5,-1)</f>
        <v>14</v>
      </c>
      <c r="AI5" s="6">
        <f>COUNTIF(F5:AF5,0)</f>
        <v>8</v>
      </c>
    </row>
    <row r="6" spans="1:35" x14ac:dyDescent="0.35">
      <c r="A6" s="1">
        <v>3</v>
      </c>
      <c r="B6" s="1" t="s">
        <v>29</v>
      </c>
      <c r="C6" s="1">
        <v>4</v>
      </c>
      <c r="D6" s="1" t="str">
        <f>"000012210525"</f>
        <v>000012210525</v>
      </c>
      <c r="E6" t="s">
        <v>7</v>
      </c>
      <c r="F6">
        <v>-1</v>
      </c>
      <c r="G6">
        <v>1</v>
      </c>
      <c r="H6">
        <v>-1</v>
      </c>
      <c r="I6">
        <v>1</v>
      </c>
      <c r="J6">
        <v>1</v>
      </c>
      <c r="K6">
        <v>-1</v>
      </c>
      <c r="L6">
        <v>-1</v>
      </c>
      <c r="M6">
        <v>-1</v>
      </c>
      <c r="N6">
        <v>1</v>
      </c>
      <c r="O6">
        <v>1</v>
      </c>
      <c r="P6">
        <v>1</v>
      </c>
      <c r="Q6">
        <v>-1</v>
      </c>
      <c r="R6">
        <v>-1</v>
      </c>
      <c r="S6">
        <v>-1</v>
      </c>
      <c r="T6">
        <v>1</v>
      </c>
      <c r="U6">
        <v>1</v>
      </c>
      <c r="V6">
        <v>-1</v>
      </c>
      <c r="W6">
        <v>-1</v>
      </c>
      <c r="X6">
        <v>-1</v>
      </c>
      <c r="Y6">
        <v>1</v>
      </c>
      <c r="Z6">
        <v>-1</v>
      </c>
      <c r="AA6">
        <v>-1</v>
      </c>
      <c r="AB6">
        <v>-1</v>
      </c>
      <c r="AC6">
        <v>1</v>
      </c>
      <c r="AD6">
        <v>0</v>
      </c>
      <c r="AE6">
        <v>-1</v>
      </c>
      <c r="AF6">
        <v>-1</v>
      </c>
      <c r="AG6" s="4">
        <f>COUNTIF(F6:AF6,1) + COUNTIF(F6:AF6,2)*2</f>
        <v>10</v>
      </c>
      <c r="AH6" s="5">
        <f>COUNTIF(F6:AF6,-1)</f>
        <v>16</v>
      </c>
      <c r="AI6" s="6">
        <f>COUNTIF(F6:AF6,0)</f>
        <v>1</v>
      </c>
    </row>
    <row r="7" spans="1:35" x14ac:dyDescent="0.35">
      <c r="A7" s="1">
        <v>3</v>
      </c>
      <c r="B7" s="1" t="s">
        <v>29</v>
      </c>
      <c r="C7" s="1">
        <v>5</v>
      </c>
      <c r="D7" s="1" t="str">
        <f>"000012231823"</f>
        <v>000012231823</v>
      </c>
      <c r="E7" t="s">
        <v>8</v>
      </c>
      <c r="F7">
        <v>-1</v>
      </c>
      <c r="G7">
        <v>1</v>
      </c>
      <c r="H7">
        <v>-1</v>
      </c>
      <c r="I7">
        <v>0</v>
      </c>
      <c r="J7">
        <v>-1</v>
      </c>
      <c r="K7">
        <v>1</v>
      </c>
      <c r="L7">
        <v>-1</v>
      </c>
      <c r="M7">
        <v>-1</v>
      </c>
      <c r="N7">
        <v>1</v>
      </c>
      <c r="O7">
        <v>-1</v>
      </c>
      <c r="P7">
        <v>-1</v>
      </c>
      <c r="Q7">
        <v>-1</v>
      </c>
      <c r="R7">
        <v>-1</v>
      </c>
      <c r="S7">
        <v>0</v>
      </c>
      <c r="T7">
        <v>-1</v>
      </c>
      <c r="U7">
        <v>-1</v>
      </c>
      <c r="V7">
        <v>-1</v>
      </c>
      <c r="W7">
        <v>0</v>
      </c>
      <c r="X7">
        <v>0</v>
      </c>
      <c r="Y7">
        <v>1</v>
      </c>
      <c r="Z7">
        <v>-1</v>
      </c>
      <c r="AA7">
        <v>-1</v>
      </c>
      <c r="AB7">
        <v>2</v>
      </c>
      <c r="AC7">
        <v>-1</v>
      </c>
      <c r="AD7">
        <v>0</v>
      </c>
      <c r="AE7">
        <v>-1</v>
      </c>
      <c r="AF7">
        <v>-1</v>
      </c>
      <c r="AG7" s="4">
        <f>COUNTIF(F7:AF7,1) + COUNTIF(F7:AF7,2)*2</f>
        <v>6</v>
      </c>
      <c r="AH7" s="5">
        <f>COUNTIF(F7:AF7,-1)</f>
        <v>17</v>
      </c>
      <c r="AI7" s="6">
        <f>COUNTIF(F7:AF7,0)</f>
        <v>5</v>
      </c>
    </row>
    <row r="8" spans="1:35" x14ac:dyDescent="0.35">
      <c r="A8" s="1">
        <v>3</v>
      </c>
      <c r="B8" s="1" t="s">
        <v>29</v>
      </c>
      <c r="C8" s="1">
        <v>6</v>
      </c>
      <c r="D8" s="1" t="str">
        <f>"000012221109"</f>
        <v>000012221109</v>
      </c>
      <c r="E8" t="s">
        <v>9</v>
      </c>
      <c r="F8">
        <v>0</v>
      </c>
      <c r="G8">
        <v>-1</v>
      </c>
      <c r="H8">
        <v>-1</v>
      </c>
      <c r="I8">
        <v>0</v>
      </c>
      <c r="J8">
        <v>-1</v>
      </c>
      <c r="K8">
        <v>1</v>
      </c>
      <c r="L8">
        <v>1</v>
      </c>
      <c r="M8">
        <v>-1</v>
      </c>
      <c r="N8">
        <v>-1</v>
      </c>
      <c r="O8">
        <v>1</v>
      </c>
      <c r="P8">
        <v>-1</v>
      </c>
      <c r="Q8">
        <v>0</v>
      </c>
      <c r="R8">
        <v>-1</v>
      </c>
      <c r="S8">
        <v>-1</v>
      </c>
      <c r="T8">
        <v>-1</v>
      </c>
      <c r="U8">
        <v>-1</v>
      </c>
      <c r="V8">
        <v>0</v>
      </c>
      <c r="W8">
        <v>0</v>
      </c>
      <c r="X8">
        <v>0</v>
      </c>
      <c r="Y8">
        <v>1</v>
      </c>
      <c r="Z8">
        <v>-1</v>
      </c>
      <c r="AA8">
        <v>0</v>
      </c>
      <c r="AB8">
        <v>-1</v>
      </c>
      <c r="AC8">
        <v>0</v>
      </c>
      <c r="AD8">
        <v>0</v>
      </c>
      <c r="AE8">
        <v>-1</v>
      </c>
      <c r="AF8">
        <v>1</v>
      </c>
      <c r="AG8" s="4">
        <f>COUNTIF(F8:AF8,1) + COUNTIF(F8:AF8,2)*2</f>
        <v>5</v>
      </c>
      <c r="AH8" s="5">
        <f>COUNTIF(F8:AF8,-1)</f>
        <v>13</v>
      </c>
      <c r="AI8" s="6">
        <f>COUNTIF(F8:AF8,0)</f>
        <v>9</v>
      </c>
    </row>
    <row r="9" spans="1:35" x14ac:dyDescent="0.35">
      <c r="A9" s="1">
        <v>3</v>
      </c>
      <c r="B9" s="1" t="s">
        <v>29</v>
      </c>
      <c r="C9" s="1">
        <v>7</v>
      </c>
      <c r="D9" s="1" t="str">
        <f>"000012211791"</f>
        <v>000012211791</v>
      </c>
      <c r="E9" t="s">
        <v>10</v>
      </c>
      <c r="F9">
        <v>-1</v>
      </c>
      <c r="G9">
        <v>0</v>
      </c>
      <c r="H9">
        <v>-1</v>
      </c>
      <c r="I9">
        <v>0</v>
      </c>
      <c r="J9">
        <v>0</v>
      </c>
      <c r="K9">
        <v>1</v>
      </c>
      <c r="L9">
        <v>-1</v>
      </c>
      <c r="M9">
        <v>0</v>
      </c>
      <c r="N9">
        <v>0</v>
      </c>
      <c r="O9">
        <v>-1</v>
      </c>
      <c r="P9">
        <v>0</v>
      </c>
      <c r="Q9">
        <v>0</v>
      </c>
      <c r="R9">
        <v>-1</v>
      </c>
      <c r="S9">
        <v>0</v>
      </c>
      <c r="T9">
        <v>-1</v>
      </c>
      <c r="U9">
        <v>0</v>
      </c>
      <c r="V9">
        <v>0</v>
      </c>
      <c r="W9">
        <v>-1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-1</v>
      </c>
      <c r="AG9" s="4">
        <f>COUNTIF(F9:AF9,1) + COUNTIF(F9:AF9,2)*2</f>
        <v>1</v>
      </c>
      <c r="AH9" s="5">
        <f>COUNTIF(F9:AF9,-1)</f>
        <v>8</v>
      </c>
      <c r="AI9" s="6">
        <f>COUNTIF(F9:AF9,0)</f>
        <v>18</v>
      </c>
    </row>
    <row r="10" spans="1:35" x14ac:dyDescent="0.35">
      <c r="A10" s="1">
        <v>3</v>
      </c>
      <c r="B10" s="1" t="s">
        <v>29</v>
      </c>
      <c r="C10" s="1">
        <v>8</v>
      </c>
      <c r="D10" s="1" t="str">
        <f>"000012233392"</f>
        <v>000012233392</v>
      </c>
      <c r="E10" t="s">
        <v>11</v>
      </c>
      <c r="F10">
        <v>-1</v>
      </c>
      <c r="G10">
        <v>1</v>
      </c>
      <c r="H10">
        <v>-1</v>
      </c>
      <c r="I10">
        <v>1</v>
      </c>
      <c r="J10">
        <v>-1</v>
      </c>
      <c r="K10">
        <v>1</v>
      </c>
      <c r="L10">
        <v>1</v>
      </c>
      <c r="M10">
        <v>-1</v>
      </c>
      <c r="N10">
        <v>1</v>
      </c>
      <c r="O10">
        <v>-1</v>
      </c>
      <c r="P10">
        <v>-1</v>
      </c>
      <c r="Q10">
        <v>-1</v>
      </c>
      <c r="R10">
        <v>-1</v>
      </c>
      <c r="S10">
        <v>0</v>
      </c>
      <c r="T10">
        <v>-1</v>
      </c>
      <c r="U10">
        <v>1</v>
      </c>
      <c r="V10">
        <v>1</v>
      </c>
      <c r="W10">
        <v>-1</v>
      </c>
      <c r="X10">
        <v>-1</v>
      </c>
      <c r="Y10">
        <v>1</v>
      </c>
      <c r="Z10">
        <v>1</v>
      </c>
      <c r="AA10">
        <v>-1</v>
      </c>
      <c r="AB10">
        <v>2</v>
      </c>
      <c r="AC10">
        <v>0</v>
      </c>
      <c r="AD10">
        <v>0</v>
      </c>
      <c r="AE10">
        <v>-1</v>
      </c>
      <c r="AF10">
        <v>-1</v>
      </c>
      <c r="AG10" s="4">
        <f>COUNTIF(F10:AF10,1) + COUNTIF(F10:AF10,2)*2</f>
        <v>11</v>
      </c>
      <c r="AH10" s="5">
        <f>COUNTIF(F10:AF10,-1)</f>
        <v>14</v>
      </c>
      <c r="AI10" s="6">
        <f>COUNTIF(F10:AF10,0)</f>
        <v>3</v>
      </c>
    </row>
    <row r="11" spans="1:35" x14ac:dyDescent="0.35">
      <c r="A11" s="1">
        <v>3</v>
      </c>
      <c r="B11" s="1" t="s">
        <v>29</v>
      </c>
      <c r="C11" s="1">
        <v>9</v>
      </c>
      <c r="D11" s="1" t="str">
        <f>"000012220361"</f>
        <v>000012220361</v>
      </c>
      <c r="E11" t="s">
        <v>12</v>
      </c>
      <c r="F11">
        <v>0</v>
      </c>
      <c r="G11">
        <v>1</v>
      </c>
      <c r="H11">
        <v>-1</v>
      </c>
      <c r="I11">
        <v>1</v>
      </c>
      <c r="J11">
        <v>-1</v>
      </c>
      <c r="K11">
        <v>-1</v>
      </c>
      <c r="L11">
        <v>1</v>
      </c>
      <c r="M11">
        <v>-1</v>
      </c>
      <c r="N11">
        <v>1</v>
      </c>
      <c r="O11">
        <v>1</v>
      </c>
      <c r="P11">
        <v>-1</v>
      </c>
      <c r="Q11">
        <v>1</v>
      </c>
      <c r="R11">
        <v>-1</v>
      </c>
      <c r="S11">
        <v>0</v>
      </c>
      <c r="T11">
        <v>1</v>
      </c>
      <c r="U11">
        <v>-1</v>
      </c>
      <c r="V11">
        <v>1</v>
      </c>
      <c r="W11">
        <v>-1</v>
      </c>
      <c r="X11">
        <v>0</v>
      </c>
      <c r="Y11">
        <v>1</v>
      </c>
      <c r="Z11">
        <v>-1</v>
      </c>
      <c r="AA11">
        <v>-1</v>
      </c>
      <c r="AB11">
        <v>1</v>
      </c>
      <c r="AC11">
        <v>-1</v>
      </c>
      <c r="AD11">
        <v>0</v>
      </c>
      <c r="AE11">
        <v>-1</v>
      </c>
      <c r="AF11">
        <v>1</v>
      </c>
      <c r="AG11" s="4">
        <f>COUNTIF(F11:AF11,1) + COUNTIF(F11:AF11,2)*2</f>
        <v>11</v>
      </c>
      <c r="AH11" s="5">
        <f>COUNTIF(F11:AF11,-1)</f>
        <v>12</v>
      </c>
      <c r="AI11" s="6">
        <f>COUNTIF(F11:AF11,0)</f>
        <v>4</v>
      </c>
    </row>
    <row r="12" spans="1:35" x14ac:dyDescent="0.35">
      <c r="A12" s="1">
        <v>3</v>
      </c>
      <c r="B12" s="1" t="s">
        <v>29</v>
      </c>
      <c r="C12" s="1">
        <v>10</v>
      </c>
      <c r="D12" s="1" t="str">
        <f>"000012220347"</f>
        <v>000012220347</v>
      </c>
      <c r="E12" t="s">
        <v>13</v>
      </c>
      <c r="F12">
        <v>0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-1</v>
      </c>
      <c r="N12">
        <v>-1</v>
      </c>
      <c r="O12">
        <v>-1</v>
      </c>
      <c r="P12">
        <v>0</v>
      </c>
      <c r="Q12">
        <v>0</v>
      </c>
      <c r="R12">
        <v>-1</v>
      </c>
      <c r="S12">
        <v>0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1</v>
      </c>
      <c r="Z12">
        <v>-1</v>
      </c>
      <c r="AA12">
        <v>0</v>
      </c>
      <c r="AB12">
        <v>-1</v>
      </c>
      <c r="AC12">
        <v>0</v>
      </c>
      <c r="AD12">
        <v>0</v>
      </c>
      <c r="AE12">
        <v>-1</v>
      </c>
      <c r="AF12">
        <v>1</v>
      </c>
      <c r="AG12" s="4">
        <f>COUNTIF(F12:AF12,1) + COUNTIF(F12:AF12,2)*2</f>
        <v>2</v>
      </c>
      <c r="AH12" s="5">
        <f>COUNTIF(F12:AF12,-1)</f>
        <v>15</v>
      </c>
      <c r="AI12" s="6">
        <f>COUNTIF(F12:AF12,0)</f>
        <v>10</v>
      </c>
    </row>
    <row r="13" spans="1:35" x14ac:dyDescent="0.35">
      <c r="A13" s="1">
        <v>3</v>
      </c>
      <c r="B13" s="1" t="s">
        <v>29</v>
      </c>
      <c r="C13" s="1">
        <v>11</v>
      </c>
      <c r="D13" s="1" t="str">
        <f>"000012210921"</f>
        <v>000012210921</v>
      </c>
      <c r="E13" t="s">
        <v>14</v>
      </c>
      <c r="F13">
        <v>-1</v>
      </c>
      <c r="G13">
        <v>1</v>
      </c>
      <c r="H13">
        <v>-1</v>
      </c>
      <c r="I13">
        <v>1</v>
      </c>
      <c r="J13">
        <v>-1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-1</v>
      </c>
      <c r="S13">
        <v>1</v>
      </c>
      <c r="T13">
        <v>1</v>
      </c>
      <c r="U13">
        <v>1</v>
      </c>
      <c r="V13">
        <v>-1</v>
      </c>
      <c r="W13">
        <v>-1</v>
      </c>
      <c r="X13">
        <v>-1</v>
      </c>
      <c r="Y13">
        <v>1</v>
      </c>
      <c r="Z13">
        <v>1</v>
      </c>
      <c r="AA13">
        <v>-1</v>
      </c>
      <c r="AB13">
        <v>2</v>
      </c>
      <c r="AC13">
        <v>-1</v>
      </c>
      <c r="AD13">
        <v>-1</v>
      </c>
      <c r="AE13">
        <v>1</v>
      </c>
      <c r="AF13">
        <v>2</v>
      </c>
      <c r="AG13" s="4">
        <f>COUNTIF(F13:AF13,1) + COUNTIF(F13:AF13,2)*2</f>
        <v>19</v>
      </c>
      <c r="AH13" s="5">
        <f>COUNTIF(F13:AF13,-1)</f>
        <v>10</v>
      </c>
      <c r="AI13" s="6">
        <f>COUNTIF(F13:AF13,0)</f>
        <v>0</v>
      </c>
    </row>
    <row r="14" spans="1:35" x14ac:dyDescent="0.35">
      <c r="A14" s="1">
        <v>3</v>
      </c>
      <c r="B14" s="1" t="s">
        <v>29</v>
      </c>
      <c r="C14" s="1">
        <v>12</v>
      </c>
      <c r="D14" s="1" t="str">
        <f>"000012211041"</f>
        <v>000012211041</v>
      </c>
      <c r="E14" t="s">
        <v>15</v>
      </c>
      <c r="F14">
        <v>-1</v>
      </c>
      <c r="G14">
        <v>1</v>
      </c>
      <c r="H14">
        <v>-1</v>
      </c>
      <c r="I14">
        <v>1</v>
      </c>
      <c r="J14">
        <v>-1</v>
      </c>
      <c r="K14">
        <v>1</v>
      </c>
      <c r="L14">
        <v>1</v>
      </c>
      <c r="M14">
        <v>-1</v>
      </c>
      <c r="N14">
        <v>1</v>
      </c>
      <c r="O14">
        <v>1</v>
      </c>
      <c r="P14">
        <v>-1</v>
      </c>
      <c r="Q14">
        <v>0</v>
      </c>
      <c r="R14">
        <v>1</v>
      </c>
      <c r="S14">
        <v>-1</v>
      </c>
      <c r="T14">
        <v>-1</v>
      </c>
      <c r="U14">
        <v>-1</v>
      </c>
      <c r="V14">
        <v>1</v>
      </c>
      <c r="W14">
        <v>-1</v>
      </c>
      <c r="X14">
        <v>-1</v>
      </c>
      <c r="Y14">
        <v>1</v>
      </c>
      <c r="Z14">
        <v>1</v>
      </c>
      <c r="AA14">
        <v>0</v>
      </c>
      <c r="AB14">
        <v>1</v>
      </c>
      <c r="AC14">
        <v>1</v>
      </c>
      <c r="AD14">
        <v>-1</v>
      </c>
      <c r="AE14">
        <v>-1</v>
      </c>
      <c r="AF14">
        <v>1</v>
      </c>
      <c r="AG14" s="4">
        <f>COUNTIF(F14:AF14,1) + COUNTIF(F14:AF14,2)*2</f>
        <v>13</v>
      </c>
      <c r="AH14" s="5">
        <f>COUNTIF(F14:AF14,-1)</f>
        <v>12</v>
      </c>
      <c r="AI14" s="6">
        <f>COUNTIF(F14:AF14,0)</f>
        <v>2</v>
      </c>
    </row>
    <row r="15" spans="1:35" x14ac:dyDescent="0.35">
      <c r="A15" s="1">
        <v>3</v>
      </c>
      <c r="B15" s="1" t="s">
        <v>29</v>
      </c>
      <c r="C15" s="1">
        <v>13</v>
      </c>
      <c r="D15" s="1" t="str">
        <f>"000012211397"</f>
        <v>000012211397</v>
      </c>
      <c r="E15" t="s">
        <v>16</v>
      </c>
      <c r="F15">
        <v>0</v>
      </c>
      <c r="G15">
        <v>-1</v>
      </c>
      <c r="H15">
        <v>-1</v>
      </c>
      <c r="I15">
        <v>0</v>
      </c>
      <c r="J15">
        <v>0</v>
      </c>
      <c r="K15">
        <v>-1</v>
      </c>
      <c r="L15">
        <v>-1</v>
      </c>
      <c r="M15">
        <v>-1</v>
      </c>
      <c r="N15">
        <v>1</v>
      </c>
      <c r="O15">
        <v>-1</v>
      </c>
      <c r="P15">
        <v>-1</v>
      </c>
      <c r="Q15">
        <v>0</v>
      </c>
      <c r="R15">
        <v>-1</v>
      </c>
      <c r="S15">
        <v>0</v>
      </c>
      <c r="T15">
        <v>-1</v>
      </c>
      <c r="U15">
        <v>0</v>
      </c>
      <c r="V15">
        <v>-1</v>
      </c>
      <c r="W15">
        <v>0</v>
      </c>
      <c r="X15">
        <v>0</v>
      </c>
      <c r="Y15">
        <v>-1</v>
      </c>
      <c r="Z15">
        <v>0</v>
      </c>
      <c r="AA15">
        <v>0</v>
      </c>
      <c r="AB15">
        <v>-1</v>
      </c>
      <c r="AC15">
        <v>0</v>
      </c>
      <c r="AD15">
        <v>0</v>
      </c>
      <c r="AE15">
        <v>0</v>
      </c>
      <c r="AF15">
        <v>0</v>
      </c>
      <c r="AG15" s="4">
        <f>COUNTIF(F15:AF15,1) + COUNTIF(F15:AF15,2)*2</f>
        <v>1</v>
      </c>
      <c r="AH15" s="5">
        <f>COUNTIF(F15:AF15,-1)</f>
        <v>12</v>
      </c>
      <c r="AI15" s="6">
        <f>COUNTIF(F15:AF15,0)</f>
        <v>14</v>
      </c>
    </row>
    <row r="16" spans="1:35" x14ac:dyDescent="0.35">
      <c r="A16" s="1">
        <v>3</v>
      </c>
      <c r="B16" s="1" t="s">
        <v>29</v>
      </c>
      <c r="C16" s="1">
        <v>14</v>
      </c>
      <c r="D16" s="1" t="str">
        <f>"000012230871"</f>
        <v>000012230871</v>
      </c>
      <c r="E16" t="s">
        <v>17</v>
      </c>
      <c r="F16">
        <v>-1</v>
      </c>
      <c r="G16">
        <v>1</v>
      </c>
      <c r="H16">
        <v>-1</v>
      </c>
      <c r="I16">
        <v>1</v>
      </c>
      <c r="J16">
        <v>0</v>
      </c>
      <c r="K16">
        <v>1</v>
      </c>
      <c r="L16">
        <v>-1</v>
      </c>
      <c r="M16">
        <v>-1</v>
      </c>
      <c r="N16">
        <v>1</v>
      </c>
      <c r="O16">
        <v>1</v>
      </c>
      <c r="P16">
        <v>-1</v>
      </c>
      <c r="Q16">
        <v>-1</v>
      </c>
      <c r="R16">
        <v>1</v>
      </c>
      <c r="S16">
        <v>-1</v>
      </c>
      <c r="T16">
        <v>1</v>
      </c>
      <c r="U16">
        <v>-1</v>
      </c>
      <c r="V16">
        <v>-1</v>
      </c>
      <c r="W16">
        <v>0</v>
      </c>
      <c r="X16">
        <v>0</v>
      </c>
      <c r="Y16">
        <v>1</v>
      </c>
      <c r="Z16">
        <v>-1</v>
      </c>
      <c r="AA16">
        <v>0</v>
      </c>
      <c r="AB16">
        <v>-1</v>
      </c>
      <c r="AC16">
        <v>-1</v>
      </c>
      <c r="AD16">
        <v>0</v>
      </c>
      <c r="AE16">
        <v>-1</v>
      </c>
      <c r="AF16">
        <v>1</v>
      </c>
      <c r="AG16" s="4">
        <f>COUNTIF(F16:AF16,1) + COUNTIF(F16:AF16,2)*2</f>
        <v>9</v>
      </c>
      <c r="AH16" s="5">
        <f>COUNTIF(F16:AF16,-1)</f>
        <v>13</v>
      </c>
      <c r="AI16" s="6">
        <f>COUNTIF(F16:AF16,0)</f>
        <v>5</v>
      </c>
    </row>
    <row r="17" spans="1:35" x14ac:dyDescent="0.35">
      <c r="A17" s="1">
        <v>3</v>
      </c>
      <c r="B17" s="1" t="s">
        <v>29</v>
      </c>
      <c r="C17" s="1">
        <v>15</v>
      </c>
      <c r="D17" s="1" t="str">
        <f>"000012222153"</f>
        <v>000012222153</v>
      </c>
      <c r="E17" t="s">
        <v>18</v>
      </c>
      <c r="F17">
        <v>0</v>
      </c>
      <c r="G17">
        <v>0</v>
      </c>
      <c r="H17">
        <v>-1</v>
      </c>
      <c r="I17">
        <v>1</v>
      </c>
      <c r="J17">
        <v>1</v>
      </c>
      <c r="K17">
        <v>1</v>
      </c>
      <c r="L17">
        <v>-1</v>
      </c>
      <c r="M17">
        <v>-1</v>
      </c>
      <c r="N17">
        <v>1</v>
      </c>
      <c r="O17">
        <v>1</v>
      </c>
      <c r="P17">
        <v>-1</v>
      </c>
      <c r="Q17">
        <v>-1</v>
      </c>
      <c r="R17">
        <v>1</v>
      </c>
      <c r="S17">
        <v>-1</v>
      </c>
      <c r="T17">
        <v>-1</v>
      </c>
      <c r="U17">
        <v>-1</v>
      </c>
      <c r="V17">
        <v>0</v>
      </c>
      <c r="W17">
        <v>0</v>
      </c>
      <c r="X17">
        <v>0</v>
      </c>
      <c r="Y17">
        <v>1</v>
      </c>
      <c r="Z17">
        <v>0</v>
      </c>
      <c r="AA17">
        <v>-1</v>
      </c>
      <c r="AB17">
        <v>1</v>
      </c>
      <c r="AC17">
        <v>0</v>
      </c>
      <c r="AD17">
        <v>0</v>
      </c>
      <c r="AE17">
        <v>-1</v>
      </c>
      <c r="AF17">
        <v>-1</v>
      </c>
      <c r="AG17" s="4">
        <f>COUNTIF(F17:AF17,1) + COUNTIF(F17:AF17,2)*2</f>
        <v>8</v>
      </c>
      <c r="AH17" s="5">
        <f>COUNTIF(F17:AF17,-1)</f>
        <v>11</v>
      </c>
      <c r="AI17" s="6">
        <f>COUNTIF(F17:AF17,0)</f>
        <v>8</v>
      </c>
    </row>
    <row r="18" spans="1:35" x14ac:dyDescent="0.35">
      <c r="A18" s="1">
        <v>3</v>
      </c>
      <c r="B18" s="1" t="s">
        <v>29</v>
      </c>
      <c r="C18" s="1">
        <v>16</v>
      </c>
      <c r="D18" s="1" t="str">
        <f>"000012233228"</f>
        <v>000012233228</v>
      </c>
      <c r="E18" t="s">
        <v>19</v>
      </c>
      <c r="F18">
        <v>0</v>
      </c>
      <c r="G18">
        <v>-1</v>
      </c>
      <c r="H18">
        <v>-1</v>
      </c>
      <c r="I18">
        <v>1</v>
      </c>
      <c r="J18">
        <v>-1</v>
      </c>
      <c r="K18">
        <v>1</v>
      </c>
      <c r="L18">
        <v>0</v>
      </c>
      <c r="M18">
        <v>-1</v>
      </c>
      <c r="N18">
        <v>1</v>
      </c>
      <c r="O18">
        <v>-1</v>
      </c>
      <c r="P18">
        <v>0</v>
      </c>
      <c r="Q18">
        <v>0</v>
      </c>
      <c r="R18">
        <v>0</v>
      </c>
      <c r="S18">
        <v>1</v>
      </c>
      <c r="T18">
        <v>-1</v>
      </c>
      <c r="U18">
        <v>-1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s="4">
        <f>COUNTIF(F18:AF18,1) + COUNTIF(F18:AF18,2)*2</f>
        <v>4</v>
      </c>
      <c r="AH18" s="5">
        <f>COUNTIF(F18:AF18,-1)</f>
        <v>7</v>
      </c>
      <c r="AI18" s="6">
        <f>COUNTIF(F18:AF18,0)</f>
        <v>16</v>
      </c>
    </row>
    <row r="19" spans="1:35" x14ac:dyDescent="0.35">
      <c r="A19" s="1">
        <v>3</v>
      </c>
      <c r="B19" s="1" t="s">
        <v>29</v>
      </c>
      <c r="C19" s="1">
        <v>17</v>
      </c>
      <c r="D19" s="1" t="str">
        <f>"000012233812"</f>
        <v>000012233812</v>
      </c>
      <c r="E19" t="s">
        <v>20</v>
      </c>
      <c r="F19">
        <v>-1</v>
      </c>
      <c r="G19">
        <v>0</v>
      </c>
      <c r="H19">
        <v>-1</v>
      </c>
      <c r="I19">
        <v>0</v>
      </c>
      <c r="J19">
        <v>0</v>
      </c>
      <c r="K19">
        <v>1</v>
      </c>
      <c r="L19">
        <v>-1</v>
      </c>
      <c r="M19">
        <v>-1</v>
      </c>
      <c r="N19">
        <v>1</v>
      </c>
      <c r="O19">
        <v>-1</v>
      </c>
      <c r="P19">
        <v>-1</v>
      </c>
      <c r="Q19">
        <v>-1</v>
      </c>
      <c r="R19">
        <v>1</v>
      </c>
      <c r="S19">
        <v>0</v>
      </c>
      <c r="T19">
        <v>0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0</v>
      </c>
      <c r="AD19">
        <v>0</v>
      </c>
      <c r="AE19">
        <v>-1</v>
      </c>
      <c r="AF19">
        <v>-1</v>
      </c>
      <c r="AG19" s="4">
        <f>COUNTIF(F19:AF19,1) + COUNTIF(F19:AF19,2)*2</f>
        <v>3</v>
      </c>
      <c r="AH19" s="5">
        <f>COUNTIF(F19:AF19,-1)</f>
        <v>17</v>
      </c>
      <c r="AI19" s="6">
        <f>COUNTIF(F19:AF19,0)</f>
        <v>7</v>
      </c>
    </row>
    <row r="20" spans="1:35" x14ac:dyDescent="0.35">
      <c r="A20" s="1">
        <v>3</v>
      </c>
      <c r="B20" s="1" t="s">
        <v>29</v>
      </c>
      <c r="C20" s="1">
        <v>18</v>
      </c>
      <c r="D20" s="1" t="str">
        <f>"000012232742"</f>
        <v>000012232742</v>
      </c>
      <c r="E20" t="s">
        <v>21</v>
      </c>
      <c r="F20">
        <v>-1</v>
      </c>
      <c r="G20">
        <v>0</v>
      </c>
      <c r="H20">
        <v>-1</v>
      </c>
      <c r="I20">
        <v>-1</v>
      </c>
      <c r="J20">
        <v>0</v>
      </c>
      <c r="K20">
        <v>-1</v>
      </c>
      <c r="L20">
        <v>-1</v>
      </c>
      <c r="M20">
        <v>-1</v>
      </c>
      <c r="N20">
        <v>1</v>
      </c>
      <c r="O20">
        <v>-1</v>
      </c>
      <c r="P20">
        <v>0</v>
      </c>
      <c r="Q20">
        <v>0</v>
      </c>
      <c r="R20">
        <v>-1</v>
      </c>
      <c r="S20">
        <v>0</v>
      </c>
      <c r="T20">
        <v>-1</v>
      </c>
      <c r="U20">
        <v>-1</v>
      </c>
      <c r="V20">
        <v>1</v>
      </c>
      <c r="W20">
        <v>-1</v>
      </c>
      <c r="X20">
        <v>-1</v>
      </c>
      <c r="Y20">
        <v>1</v>
      </c>
      <c r="Z20">
        <v>-1</v>
      </c>
      <c r="AA20">
        <v>-1</v>
      </c>
      <c r="AB20">
        <v>-1</v>
      </c>
      <c r="AC20">
        <v>-1</v>
      </c>
      <c r="AD20">
        <v>0</v>
      </c>
      <c r="AE20">
        <v>-1</v>
      </c>
      <c r="AF20">
        <v>2</v>
      </c>
      <c r="AG20" s="4">
        <f>COUNTIF(F20:AF20,1) + COUNTIF(F20:AF20,2)*2</f>
        <v>5</v>
      </c>
      <c r="AH20" s="5">
        <f>COUNTIF(F20:AF20,-1)</f>
        <v>17</v>
      </c>
      <c r="AI20" s="6">
        <f>COUNTIF(F20:AF20,0)</f>
        <v>6</v>
      </c>
    </row>
    <row r="21" spans="1:35" x14ac:dyDescent="0.35">
      <c r="A21" s="1">
        <v>3</v>
      </c>
      <c r="B21" s="1" t="s">
        <v>29</v>
      </c>
      <c r="C21" s="1">
        <v>19</v>
      </c>
      <c r="D21" s="1" t="str">
        <f>"000012222311"</f>
        <v>000012222311</v>
      </c>
      <c r="E21" t="s">
        <v>22</v>
      </c>
      <c r="F21">
        <v>-1</v>
      </c>
      <c r="G21">
        <v>-1</v>
      </c>
      <c r="H21">
        <v>-1</v>
      </c>
      <c r="I21">
        <v>1</v>
      </c>
      <c r="J21">
        <v>-1</v>
      </c>
      <c r="K21">
        <v>1</v>
      </c>
      <c r="L21">
        <v>1</v>
      </c>
      <c r="M21">
        <v>-1</v>
      </c>
      <c r="N21">
        <v>1</v>
      </c>
      <c r="O21">
        <v>-1</v>
      </c>
      <c r="P21">
        <v>-1</v>
      </c>
      <c r="Q21">
        <v>-1</v>
      </c>
      <c r="R21">
        <v>-1</v>
      </c>
      <c r="S21">
        <v>0</v>
      </c>
      <c r="T21">
        <v>-1</v>
      </c>
      <c r="U21">
        <v>-1</v>
      </c>
      <c r="V21">
        <v>-1</v>
      </c>
      <c r="W21">
        <v>-1</v>
      </c>
      <c r="X21">
        <v>0</v>
      </c>
      <c r="Y21">
        <v>-1</v>
      </c>
      <c r="Z21">
        <v>-1</v>
      </c>
      <c r="AA21">
        <v>-1</v>
      </c>
      <c r="AB21">
        <v>1</v>
      </c>
      <c r="AC21">
        <v>-1</v>
      </c>
      <c r="AD21">
        <v>0</v>
      </c>
      <c r="AE21">
        <v>-1</v>
      </c>
      <c r="AF21">
        <v>-1</v>
      </c>
      <c r="AG21" s="4">
        <f>COUNTIF(F21:AF21,1) + COUNTIF(F21:AF21,2)*2</f>
        <v>5</v>
      </c>
      <c r="AH21" s="5">
        <f>COUNTIF(F21:AF21,-1)</f>
        <v>19</v>
      </c>
      <c r="AI21" s="6">
        <f>COUNTIF(F21:AF21,0)</f>
        <v>3</v>
      </c>
    </row>
    <row r="22" spans="1:35" x14ac:dyDescent="0.35">
      <c r="A22" s="1">
        <v>3</v>
      </c>
      <c r="B22" s="1" t="s">
        <v>29</v>
      </c>
      <c r="C22" s="1">
        <v>20</v>
      </c>
      <c r="D22" s="1" t="str">
        <f>"000012222669"</f>
        <v>000012222669</v>
      </c>
      <c r="E22" t="s">
        <v>23</v>
      </c>
      <c r="F22">
        <v>-1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-1</v>
      </c>
      <c r="P22">
        <v>-1</v>
      </c>
      <c r="Q22">
        <v>0</v>
      </c>
      <c r="R22">
        <v>-1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 s="4">
        <f>COUNTIF(F22:AF22,1) + COUNTIF(F22:AF22,2)*2</f>
        <v>4</v>
      </c>
      <c r="AH22" s="5">
        <f>COUNTIF(F22:AF22,-1)</f>
        <v>4</v>
      </c>
      <c r="AI22" s="6">
        <f>COUNTIF(F22:AF22,0)</f>
        <v>19</v>
      </c>
    </row>
    <row r="23" spans="1:35" x14ac:dyDescent="0.35">
      <c r="A23" s="1">
        <v>3</v>
      </c>
      <c r="B23" s="1" t="s">
        <v>29</v>
      </c>
      <c r="C23" s="1">
        <v>21</v>
      </c>
      <c r="D23" s="1" t="str">
        <f>"000012220671"</f>
        <v>000012220671</v>
      </c>
      <c r="E23" t="s">
        <v>24</v>
      </c>
      <c r="F23">
        <v>0</v>
      </c>
      <c r="G23">
        <v>1</v>
      </c>
      <c r="H23">
        <v>-1</v>
      </c>
      <c r="I23">
        <v>-1</v>
      </c>
      <c r="J23">
        <v>1</v>
      </c>
      <c r="K23">
        <v>1</v>
      </c>
      <c r="L23">
        <v>1</v>
      </c>
      <c r="M23">
        <v>-1</v>
      </c>
      <c r="N23">
        <v>1</v>
      </c>
      <c r="O23">
        <v>0</v>
      </c>
      <c r="P23">
        <v>-1</v>
      </c>
      <c r="Q23">
        <v>0</v>
      </c>
      <c r="R23">
        <v>-1</v>
      </c>
      <c r="S23">
        <v>0</v>
      </c>
      <c r="T23">
        <v>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0</v>
      </c>
      <c r="AA23">
        <v>0</v>
      </c>
      <c r="AB23">
        <v>-1</v>
      </c>
      <c r="AC23">
        <v>-1</v>
      </c>
      <c r="AD23">
        <v>0</v>
      </c>
      <c r="AE23">
        <v>-1</v>
      </c>
      <c r="AF23">
        <v>-1</v>
      </c>
      <c r="AG23" s="4">
        <f>COUNTIF(F23:AF23,1) + COUNTIF(F23:AF23,2)*2</f>
        <v>6</v>
      </c>
      <c r="AH23" s="5">
        <f>COUNTIF(F23:AF23,-1)</f>
        <v>14</v>
      </c>
      <c r="AI23" s="6">
        <f>COUNTIF(F23:AF23,0)</f>
        <v>7</v>
      </c>
    </row>
    <row r="24" spans="1:35" x14ac:dyDescent="0.35">
      <c r="A24" s="1">
        <v>3</v>
      </c>
      <c r="B24" s="1" t="s">
        <v>29</v>
      </c>
      <c r="C24" s="1">
        <v>22</v>
      </c>
      <c r="D24" s="1" t="str">
        <f>"000012230991"</f>
        <v>000012230991</v>
      </c>
      <c r="E24" t="s">
        <v>25</v>
      </c>
      <c r="F24">
        <v>-1</v>
      </c>
      <c r="G24">
        <v>-1</v>
      </c>
      <c r="H24">
        <v>-1</v>
      </c>
      <c r="I24">
        <v>0</v>
      </c>
      <c r="J24">
        <v>-1</v>
      </c>
      <c r="K24">
        <v>-1</v>
      </c>
      <c r="L24">
        <v>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0</v>
      </c>
      <c r="T24">
        <v>-1</v>
      </c>
      <c r="U24">
        <v>-1</v>
      </c>
      <c r="V24">
        <v>0</v>
      </c>
      <c r="W24">
        <v>-1</v>
      </c>
      <c r="X24">
        <v>-1</v>
      </c>
      <c r="Y24">
        <v>1</v>
      </c>
      <c r="Z24">
        <v>-1</v>
      </c>
      <c r="AA24">
        <v>0</v>
      </c>
      <c r="AB24">
        <v>-1</v>
      </c>
      <c r="AC24">
        <v>-1</v>
      </c>
      <c r="AD24">
        <v>0</v>
      </c>
      <c r="AE24">
        <v>-1</v>
      </c>
      <c r="AF24">
        <v>-1</v>
      </c>
      <c r="AG24" s="4">
        <f>COUNTIF(F24:AF24,1) + COUNTIF(F24:AF24,2)*2</f>
        <v>2</v>
      </c>
      <c r="AH24" s="5">
        <f>COUNTIF(F24:AF24,-1)</f>
        <v>20</v>
      </c>
      <c r="AI24" s="6">
        <f>COUNTIF(F24:AF24,0)</f>
        <v>5</v>
      </c>
    </row>
    <row r="25" spans="1:35" x14ac:dyDescent="0.35">
      <c r="A25" s="1">
        <v>3</v>
      </c>
      <c r="B25" s="1" t="s">
        <v>29</v>
      </c>
      <c r="C25" s="1">
        <v>23</v>
      </c>
      <c r="D25" s="1" t="str">
        <f>"000012220085"</f>
        <v>000012220085</v>
      </c>
      <c r="E25" t="s">
        <v>26</v>
      </c>
      <c r="F25">
        <v>0</v>
      </c>
      <c r="G25">
        <v>0</v>
      </c>
      <c r="H25">
        <v>-1</v>
      </c>
      <c r="I25">
        <v>0</v>
      </c>
      <c r="J25">
        <v>-1</v>
      </c>
      <c r="K25">
        <v>1</v>
      </c>
      <c r="L25">
        <v>1</v>
      </c>
      <c r="M25">
        <v>-1</v>
      </c>
      <c r="N25">
        <v>1</v>
      </c>
      <c r="O25">
        <v>1</v>
      </c>
      <c r="P25">
        <v>0</v>
      </c>
      <c r="Q25">
        <v>0</v>
      </c>
      <c r="R25">
        <v>-1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-1</v>
      </c>
      <c r="AF25">
        <v>-1</v>
      </c>
      <c r="AG25" s="4">
        <f>COUNTIF(F25:AF25,1) + COUNTIF(F25:AF25,2)*2</f>
        <v>5</v>
      </c>
      <c r="AH25" s="5">
        <f>COUNTIF(F25:AF25,-1)</f>
        <v>7</v>
      </c>
      <c r="AI25" s="6">
        <f>COUNTIF(F25:AF25,0)</f>
        <v>15</v>
      </c>
    </row>
    <row r="26" spans="1:35" x14ac:dyDescent="0.35">
      <c r="A26" s="1">
        <v>3</v>
      </c>
      <c r="B26" s="1" t="s">
        <v>29</v>
      </c>
      <c r="C26" s="1">
        <v>24</v>
      </c>
      <c r="D26" s="1" t="str">
        <f>"000012211444"</f>
        <v>000012211444</v>
      </c>
      <c r="E26" t="s">
        <v>27</v>
      </c>
      <c r="F26">
        <v>-1</v>
      </c>
      <c r="G26">
        <v>-1</v>
      </c>
      <c r="H26">
        <v>-1</v>
      </c>
      <c r="I26">
        <v>1</v>
      </c>
      <c r="J26">
        <v>-1</v>
      </c>
      <c r="K26">
        <v>-1</v>
      </c>
      <c r="L26">
        <v>-1</v>
      </c>
      <c r="M26">
        <v>-1</v>
      </c>
      <c r="N26">
        <v>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1</v>
      </c>
      <c r="Z26">
        <v>-1</v>
      </c>
      <c r="AA26">
        <v>-1</v>
      </c>
      <c r="AB26">
        <v>-1</v>
      </c>
      <c r="AC26">
        <v>-1</v>
      </c>
      <c r="AD26">
        <v>0</v>
      </c>
      <c r="AE26">
        <v>-1</v>
      </c>
      <c r="AF26">
        <v>-1</v>
      </c>
      <c r="AG26" s="4">
        <f>COUNTIF(F26:AF26,1) + COUNTIF(F26:AF26,2)*2</f>
        <v>3</v>
      </c>
      <c r="AH26" s="5">
        <f>COUNTIF(F26:AF26,-1)</f>
        <v>23</v>
      </c>
      <c r="AI26" s="6">
        <f>COUNTIF(F26:AF26,0)</f>
        <v>1</v>
      </c>
    </row>
    <row r="27" spans="1:35" x14ac:dyDescent="0.35">
      <c r="A27" s="1">
        <v>3</v>
      </c>
      <c r="B27" s="1" t="s">
        <v>32</v>
      </c>
      <c r="C27" s="1">
        <v>1</v>
      </c>
      <c r="D27" s="1">
        <v>12250421</v>
      </c>
      <c r="E27" t="s">
        <v>33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4">
        <f>COUNTIF(F27:AF27,1) + COUNTIF(F27:AF27,2)*2</f>
        <v>0</v>
      </c>
      <c r="AH27" s="5">
        <f>COUNTIF(F27:AF27,-1)</f>
        <v>0</v>
      </c>
      <c r="AI27" s="6">
        <f>COUNTIF(F27:AF27,0)</f>
        <v>0</v>
      </c>
    </row>
    <row r="28" spans="1:35" x14ac:dyDescent="0.35">
      <c r="A28" s="1">
        <v>3</v>
      </c>
      <c r="B28" s="1" t="s">
        <v>32</v>
      </c>
      <c r="C28" s="1">
        <v>2</v>
      </c>
      <c r="D28" s="1">
        <v>12211659</v>
      </c>
      <c r="E28" t="s">
        <v>34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4">
        <f>COUNTIF(F28:AF28,1) + COUNTIF(F28:AF28,2)*2</f>
        <v>0</v>
      </c>
      <c r="AH28" s="5">
        <f>COUNTIF(F28:AF28,-1)</f>
        <v>0</v>
      </c>
      <c r="AI28" s="6">
        <f>COUNTIF(F28:AF28,0)</f>
        <v>0</v>
      </c>
    </row>
    <row r="29" spans="1:35" x14ac:dyDescent="0.35">
      <c r="A29" s="1">
        <v>3</v>
      </c>
      <c r="B29" s="1" t="s">
        <v>32</v>
      </c>
      <c r="C29" s="1">
        <v>3</v>
      </c>
      <c r="D29" s="1">
        <v>12230438</v>
      </c>
      <c r="E29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4">
        <f>COUNTIF(F29:AF29,1) + COUNTIF(F29:AF29,2)*2</f>
        <v>0</v>
      </c>
      <c r="AH29" s="5">
        <f>COUNTIF(F29:AF29,-1)</f>
        <v>0</v>
      </c>
      <c r="AI29" s="6">
        <f>COUNTIF(F29:AF29,0)</f>
        <v>0</v>
      </c>
    </row>
    <row r="30" spans="1:35" x14ac:dyDescent="0.35">
      <c r="A30" s="1">
        <v>3</v>
      </c>
      <c r="B30" s="1" t="s">
        <v>32</v>
      </c>
      <c r="C30" s="1">
        <v>4</v>
      </c>
      <c r="D30" s="1">
        <v>12232989</v>
      </c>
      <c r="E30" t="s">
        <v>36</v>
      </c>
      <c r="F30" s="1"/>
      <c r="G30" s="1"/>
      <c r="H30" s="1"/>
      <c r="I30" s="1"/>
      <c r="J30" s="1"/>
      <c r="K30" s="1"/>
      <c r="L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4">
        <f>COUNTIF(F30:AF30,1) + COUNTIF(F30:AF30,2)*2</f>
        <v>0</v>
      </c>
      <c r="AH30" s="5">
        <f>COUNTIF(F30:AF30,-1)</f>
        <v>0</v>
      </c>
      <c r="AI30" s="6">
        <f>COUNTIF(F30:AF30,0)</f>
        <v>0</v>
      </c>
    </row>
    <row r="31" spans="1:35" x14ac:dyDescent="0.35">
      <c r="A31" s="1">
        <v>3</v>
      </c>
      <c r="B31" s="1" t="s">
        <v>32</v>
      </c>
      <c r="C31" s="1">
        <v>5</v>
      </c>
      <c r="D31" s="1">
        <v>12221961</v>
      </c>
      <c r="E31" t="s">
        <v>37</v>
      </c>
      <c r="F31" s="1"/>
      <c r="G31" s="1"/>
      <c r="H31" s="1"/>
      <c r="I31" s="1"/>
      <c r="J31" s="1"/>
      <c r="K31" s="1"/>
      <c r="L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4">
        <f>COUNTIF(F31:AF31,1) + COUNTIF(F31:AF31,2)*2</f>
        <v>0</v>
      </c>
      <c r="AH31" s="5">
        <f>COUNTIF(F31:AF31,-1)</f>
        <v>0</v>
      </c>
      <c r="AI31" s="6">
        <f>COUNTIF(F31:AF31,0)</f>
        <v>0</v>
      </c>
    </row>
    <row r="32" spans="1:35" x14ac:dyDescent="0.35">
      <c r="A32" s="1">
        <v>3</v>
      </c>
      <c r="B32" s="1" t="s">
        <v>32</v>
      </c>
      <c r="C32" s="1">
        <v>6</v>
      </c>
      <c r="D32" s="1">
        <v>12234115</v>
      </c>
      <c r="E32" t="s">
        <v>38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G32" s="4">
        <f>COUNTIF(F32:AF32,1) + COUNTIF(F32:AF32,2)*2</f>
        <v>0</v>
      </c>
      <c r="AH32" s="5">
        <f>COUNTIF(F32:AF32,-1)</f>
        <v>0</v>
      </c>
      <c r="AI32" s="6">
        <f>COUNTIF(F32:AF32,0)</f>
        <v>0</v>
      </c>
    </row>
    <row r="33" spans="1:35" x14ac:dyDescent="0.35">
      <c r="A33" s="1">
        <v>3</v>
      </c>
      <c r="B33" s="1" t="s">
        <v>32</v>
      </c>
      <c r="C33" s="1">
        <v>7</v>
      </c>
      <c r="D33" s="1">
        <v>12222218</v>
      </c>
      <c r="E33" t="s">
        <v>39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4">
        <f>COUNTIF(F33:AF33,1) + COUNTIF(F33:AF33,2)*2</f>
        <v>0</v>
      </c>
      <c r="AH33" s="5">
        <f>COUNTIF(F33:AF33,-1)</f>
        <v>0</v>
      </c>
      <c r="AI33" s="6">
        <f>COUNTIF(F33:AF33,0)</f>
        <v>0</v>
      </c>
    </row>
    <row r="34" spans="1:35" x14ac:dyDescent="0.35">
      <c r="A34" s="1">
        <v>3</v>
      </c>
      <c r="B34" s="1" t="s">
        <v>32</v>
      </c>
      <c r="C34" s="1">
        <v>8</v>
      </c>
      <c r="D34" s="1">
        <v>12222091</v>
      </c>
      <c r="E34" t="s">
        <v>40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4">
        <f>COUNTIF(F34:AF34,1) + COUNTIF(F34:AF34,2)*2</f>
        <v>0</v>
      </c>
      <c r="AH34" s="5">
        <f>COUNTIF(F34:AF34,-1)</f>
        <v>0</v>
      </c>
      <c r="AI34" s="6">
        <f>COUNTIF(F34:AF34,0)</f>
        <v>0</v>
      </c>
    </row>
    <row r="35" spans="1:35" x14ac:dyDescent="0.35">
      <c r="A35" s="1">
        <v>3</v>
      </c>
      <c r="B35" s="1" t="s">
        <v>32</v>
      </c>
      <c r="C35" s="1">
        <v>9</v>
      </c>
      <c r="D35" s="1">
        <v>12230674</v>
      </c>
      <c r="E35" t="s">
        <v>41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G35" s="4">
        <f>COUNTIF(F35:AF35,1) + COUNTIF(F35:AF35,2)*2</f>
        <v>0</v>
      </c>
      <c r="AH35" s="5">
        <f>COUNTIF(F35:AF35,-1)</f>
        <v>0</v>
      </c>
      <c r="AI35" s="6">
        <f>COUNTIF(F35:AF35,0)</f>
        <v>0</v>
      </c>
    </row>
    <row r="36" spans="1:35" x14ac:dyDescent="0.35">
      <c r="A36" s="1">
        <v>3</v>
      </c>
      <c r="B36" s="1" t="s">
        <v>32</v>
      </c>
      <c r="C36" s="1">
        <v>10</v>
      </c>
      <c r="D36" s="1">
        <v>12232101</v>
      </c>
      <c r="E36" t="s">
        <v>42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4">
        <f>COUNTIF(F36:AF36,1) + COUNTIF(F36:AF36,2)*2</f>
        <v>0</v>
      </c>
      <c r="AH36" s="5">
        <f>COUNTIF(F36:AF36,-1)</f>
        <v>0</v>
      </c>
      <c r="AI36" s="6">
        <f>COUNTIF(F36:AF36,0)</f>
        <v>0</v>
      </c>
    </row>
    <row r="37" spans="1:35" x14ac:dyDescent="0.35">
      <c r="A37" s="1">
        <v>3</v>
      </c>
      <c r="B37" s="1" t="s">
        <v>32</v>
      </c>
      <c r="C37" s="1">
        <v>11</v>
      </c>
      <c r="D37" s="1">
        <v>12211057</v>
      </c>
      <c r="E37" t="s">
        <v>43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4">
        <f>COUNTIF(F37:AF37,1) + COUNTIF(F37:AF37,2)*2</f>
        <v>0</v>
      </c>
      <c r="AH37" s="5">
        <f>COUNTIF(F37:AF37,-1)</f>
        <v>0</v>
      </c>
      <c r="AI37" s="6">
        <f>COUNTIF(F37:AF37,0)</f>
        <v>0</v>
      </c>
    </row>
    <row r="38" spans="1:35" x14ac:dyDescent="0.35">
      <c r="A38" s="1">
        <v>3</v>
      </c>
      <c r="B38" s="1" t="s">
        <v>32</v>
      </c>
      <c r="C38" s="1">
        <v>12</v>
      </c>
      <c r="D38" s="1">
        <v>12220308</v>
      </c>
      <c r="E38" t="s">
        <v>44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4">
        <f>COUNTIF(F38:AF38,1) + COUNTIF(F38:AF38,2)*2</f>
        <v>0</v>
      </c>
      <c r="AH38" s="5">
        <f>COUNTIF(F38:AF38,-1)</f>
        <v>0</v>
      </c>
      <c r="AI38" s="6">
        <f>COUNTIF(F38:AF38,0)</f>
        <v>0</v>
      </c>
    </row>
    <row r="39" spans="1:35" x14ac:dyDescent="0.35">
      <c r="A39" s="1">
        <v>3</v>
      </c>
      <c r="B39" s="1" t="s">
        <v>32</v>
      </c>
      <c r="C39" s="1">
        <v>13</v>
      </c>
      <c r="D39" s="1">
        <v>12220472</v>
      </c>
      <c r="E39" t="s">
        <v>45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4">
        <f>COUNTIF(F39:AF39,1) + COUNTIF(F39:AF39,2)*2</f>
        <v>0</v>
      </c>
      <c r="AH39" s="5">
        <f>COUNTIF(F39:AF39,-1)</f>
        <v>0</v>
      </c>
      <c r="AI39" s="6">
        <f>COUNTIF(F39:AF39,0)</f>
        <v>0</v>
      </c>
    </row>
    <row r="40" spans="1:35" x14ac:dyDescent="0.35">
      <c r="A40" s="1">
        <v>3</v>
      </c>
      <c r="B40" s="1" t="s">
        <v>32</v>
      </c>
      <c r="C40" s="1">
        <v>14</v>
      </c>
      <c r="D40" s="1">
        <v>12231783</v>
      </c>
      <c r="E40" t="s">
        <v>46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4">
        <f>COUNTIF(F40:AF40,1) + COUNTIF(F40:AF40,2)*2</f>
        <v>0</v>
      </c>
      <c r="AH40" s="5">
        <f>COUNTIF(F40:AF40,-1)</f>
        <v>0</v>
      </c>
      <c r="AI40" s="6">
        <f>COUNTIF(F40:AF40,0)</f>
        <v>0</v>
      </c>
    </row>
    <row r="41" spans="1:35" x14ac:dyDescent="0.35">
      <c r="A41" s="1">
        <v>3</v>
      </c>
      <c r="B41" s="1" t="s">
        <v>32</v>
      </c>
      <c r="C41" s="1">
        <v>15</v>
      </c>
      <c r="D41" s="1">
        <v>12220322</v>
      </c>
      <c r="E41" t="s">
        <v>47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4">
        <f>COUNTIF(F41:AF41,1) + COUNTIF(F41:AF41,2)*2</f>
        <v>0</v>
      </c>
      <c r="AH41" s="5">
        <f>COUNTIF(F41:AF41,-1)</f>
        <v>0</v>
      </c>
      <c r="AI41" s="6">
        <f>COUNTIF(F41:AF41,0)</f>
        <v>0</v>
      </c>
    </row>
    <row r="42" spans="1:35" x14ac:dyDescent="0.35">
      <c r="A42" s="1">
        <v>3</v>
      </c>
      <c r="B42" s="1" t="s">
        <v>32</v>
      </c>
      <c r="C42" s="1">
        <v>16</v>
      </c>
      <c r="D42" s="1">
        <v>12240353</v>
      </c>
      <c r="E42" t="s">
        <v>48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4">
        <f>COUNTIF(F42:AF42,1) + COUNTIF(F42:AF42,2)*2</f>
        <v>0</v>
      </c>
      <c r="AH42" s="5">
        <f>COUNTIF(F42:AF42,-1)</f>
        <v>0</v>
      </c>
      <c r="AI42" s="6">
        <f>COUNTIF(F42:AF42,0)</f>
        <v>0</v>
      </c>
    </row>
    <row r="43" spans="1:35" x14ac:dyDescent="0.35">
      <c r="A43" s="1">
        <v>3</v>
      </c>
      <c r="B43" s="1" t="s">
        <v>32</v>
      </c>
      <c r="C43" s="1">
        <v>17</v>
      </c>
      <c r="D43" s="1">
        <v>12221051</v>
      </c>
      <c r="E43" t="s">
        <v>49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4">
        <f>COUNTIF(F43:AF43,1) + COUNTIF(F43:AF43,2)*2</f>
        <v>0</v>
      </c>
      <c r="AH43" s="5">
        <f>COUNTIF(F43:AF43,-1)</f>
        <v>0</v>
      </c>
      <c r="AI43" s="6">
        <f>COUNTIF(F43:AF43,0)</f>
        <v>0</v>
      </c>
    </row>
    <row r="44" spans="1:35" x14ac:dyDescent="0.35">
      <c r="A44" s="1">
        <v>3</v>
      </c>
      <c r="B44" s="1" t="s">
        <v>32</v>
      </c>
      <c r="C44" s="1">
        <v>18</v>
      </c>
      <c r="D44" s="1">
        <v>12210217</v>
      </c>
      <c r="E44" t="s">
        <v>50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4">
        <f>COUNTIF(F44:AF44,1) + COUNTIF(F44:AF44,2)*2</f>
        <v>0</v>
      </c>
      <c r="AH44" s="5">
        <f>COUNTIF(F44:AF44,-1)</f>
        <v>0</v>
      </c>
      <c r="AI44" s="6">
        <f>COUNTIF(F44:AF44,0)</f>
        <v>0</v>
      </c>
    </row>
    <row r="45" spans="1:35" x14ac:dyDescent="0.35">
      <c r="A45" s="1">
        <v>3</v>
      </c>
      <c r="B45" s="1" t="s">
        <v>32</v>
      </c>
      <c r="C45" s="1">
        <v>19</v>
      </c>
      <c r="D45" s="1">
        <v>12211910</v>
      </c>
      <c r="E45" t="s">
        <v>51</v>
      </c>
      <c r="AG45" s="4"/>
      <c r="AH45" s="5"/>
      <c r="AI45" s="6"/>
    </row>
    <row r="46" spans="1:35" x14ac:dyDescent="0.35">
      <c r="A46" s="1">
        <v>3</v>
      </c>
      <c r="B46" s="1" t="s">
        <v>32</v>
      </c>
      <c r="C46" s="1">
        <v>20</v>
      </c>
      <c r="D46" s="1">
        <v>12233821</v>
      </c>
      <c r="E46" t="s">
        <v>52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4">
        <f>COUNTIF(F46:AF46,1) + COUNTIF(F46:AF46,2)*2</f>
        <v>0</v>
      </c>
      <c r="AH46" s="5">
        <f>COUNTIF(F46:AF46,-1)</f>
        <v>0</v>
      </c>
      <c r="AI46" s="6">
        <f>COUNTIF(F46:AF46,0)</f>
        <v>0</v>
      </c>
    </row>
    <row r="47" spans="1:35" x14ac:dyDescent="0.35">
      <c r="A47" s="1">
        <v>3</v>
      </c>
      <c r="B47" s="1" t="s">
        <v>32</v>
      </c>
      <c r="C47" s="1">
        <v>21</v>
      </c>
      <c r="D47" s="1">
        <v>12222160</v>
      </c>
      <c r="E47" t="s">
        <v>53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4">
        <f>COUNTIF(F47:AF47,1) + COUNTIF(F47:AF47,2)*2</f>
        <v>0</v>
      </c>
      <c r="AH47" s="5">
        <f>COUNTIF(F47:AF47,-1)</f>
        <v>0</v>
      </c>
      <c r="AI47" s="6">
        <f>COUNTIF(F47:AF47,0)</f>
        <v>0</v>
      </c>
    </row>
    <row r="48" spans="1:35" x14ac:dyDescent="0.35">
      <c r="A48" s="1">
        <v>3</v>
      </c>
      <c r="B48" s="1" t="s">
        <v>32</v>
      </c>
      <c r="C48" s="1">
        <v>22</v>
      </c>
      <c r="D48" s="1">
        <v>12240156</v>
      </c>
      <c r="E48" t="s">
        <v>54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E48" s="1"/>
      <c r="AF48" s="1"/>
      <c r="AG48" s="4">
        <f>COUNTIF(F48:AF48,1) + COUNTIF(F48:AF48,2)*2</f>
        <v>0</v>
      </c>
      <c r="AH48" s="5">
        <f>COUNTIF(F48:AF48,-1)</f>
        <v>0</v>
      </c>
      <c r="AI48" s="6">
        <f>COUNTIF(F48:AF48,0)</f>
        <v>0</v>
      </c>
    </row>
    <row r="49" spans="1:35" x14ac:dyDescent="0.35">
      <c r="A49" s="1">
        <v>3</v>
      </c>
      <c r="B49" s="1" t="s">
        <v>32</v>
      </c>
      <c r="C49" s="1">
        <v>23</v>
      </c>
      <c r="D49" s="1">
        <v>12210976</v>
      </c>
      <c r="E49" t="s">
        <v>55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4">
        <f>COUNTIF(F49:AF49,1) + COUNTIF(F49:AF49,2)*2</f>
        <v>0</v>
      </c>
      <c r="AH49" s="5">
        <f>COUNTIF(F49:AF49,-1)</f>
        <v>0</v>
      </c>
      <c r="AI49" s="6">
        <f>COUNTIF(F49:AF49,0)</f>
        <v>0</v>
      </c>
    </row>
    <row r="50" spans="1:35" x14ac:dyDescent="0.35">
      <c r="A50" s="1">
        <v>3</v>
      </c>
      <c r="B50" s="1" t="s">
        <v>32</v>
      </c>
      <c r="C50" s="1">
        <v>24</v>
      </c>
      <c r="D50" s="1">
        <v>12222003</v>
      </c>
      <c r="E50" t="s">
        <v>56</v>
      </c>
      <c r="AG50" s="4"/>
      <c r="AH50" s="5"/>
      <c r="AI5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Paper1</vt:lpstr>
      <vt:lpstr>Paper2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lopez</dc:creator>
  <cp:lastModifiedBy>orlando lopez</cp:lastModifiedBy>
  <dcterms:created xsi:type="dcterms:W3CDTF">2015-06-05T18:17:20Z</dcterms:created>
  <dcterms:modified xsi:type="dcterms:W3CDTF">2026-06-19T20:07:32Z</dcterms:modified>
</cp:coreProperties>
</file>